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이십삼쩜오" sheetId="1" state="visible" r:id="rId1"/>
  </sheets>
  <definedNames>
    <definedName name="_xlnm._FilterDatabase" localSheetId="0" hidden="1">'이십삼쩜오'!$A$3:$R$25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\년"/>
    <numFmt numFmtId="165" formatCode="#,##0\월"/>
    <numFmt numFmtId="166" formatCode="#,##0\일"/>
    <numFmt numFmtId="167" formatCode="_(* #,##0_);_(* \(#,##0\);_(* \-_);_(@_)"/>
  </numFmts>
  <fonts count="10">
    <font>
      <name val="맑은 고딕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나눔고딕"/>
      <charset val="1"/>
      <family val="0"/>
      <color rgb="FF000000"/>
      <sz val="11"/>
    </font>
    <font>
      <name val="나눔고딕 ExtraBold"/>
      <charset val="1"/>
      <family val="0"/>
      <color rgb="FF0000FF"/>
      <sz val="11"/>
    </font>
    <font>
      <name val="WenQuanYi Zen Hei"/>
      <family val="2"/>
      <color rgb="FF000000"/>
      <sz val="20"/>
    </font>
    <font>
      <name val="나눔고딕 ExtraBold"/>
      <charset val="1"/>
      <family val="0"/>
      <color rgb="FF000000"/>
      <sz val="11"/>
    </font>
    <font>
      <name val="WenQuanYi Zen Hei"/>
      <family val="2"/>
      <color rgb="FF000000"/>
      <sz val="11"/>
    </font>
    <font>
      <name val="WenQuanYi Zen Hei"/>
      <family val="2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C6E0B3"/>
        <bgColor rgb="FFE2F0D9"/>
      </patternFill>
    </fill>
    <fill>
      <patternFill patternType="solid">
        <fgColor rgb="FFFFE699"/>
        <bgColor rgb="FFFBE5D7"/>
      </patternFill>
    </fill>
    <fill>
      <patternFill patternType="solid">
        <fgColor rgb="FFF4B184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FBE5D7"/>
      </patternFill>
    </fill>
    <fill>
      <patternFill patternType="solid">
        <fgColor rgb="FFFBE5D7"/>
        <bgColor rgb="FFE2F0D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7" fontId="0" fillId="0" borderId="0" applyAlignment="1">
      <alignment horizontal="general" vertical="center"/>
    </xf>
  </cellStyleXfs>
  <cellXfs count="88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general"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general" vertical="center" shrinkToFit="1"/>
    </xf>
    <xf numFmtId="167" fontId="7" fillId="0" borderId="0" applyAlignment="1" pivotButton="0" quotePrefix="0" xfId="2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 shrinkToFit="1"/>
    </xf>
    <xf numFmtId="165" fontId="8" fillId="2" borderId="1" applyAlignment="1" pivotButton="0" quotePrefix="0" xfId="0">
      <alignment horizontal="center" vertical="center" shrinkToFit="1"/>
    </xf>
    <xf numFmtId="166" fontId="8" fillId="2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shrinkToFit="1"/>
    </xf>
    <xf numFmtId="0" fontId="8" fillId="2" borderId="1" applyAlignment="1" pivotButton="0" quotePrefix="0" xfId="0">
      <alignment horizontal="center" vertical="center" shrinkToFi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shrinkToFit="1"/>
    </xf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 shrinkToFit="1"/>
    </xf>
    <xf numFmtId="165" fontId="4" fillId="6" borderId="2" applyAlignment="1" pivotButton="0" quotePrefix="0" xfId="0">
      <alignment horizontal="center" vertical="center" shrinkToFit="1"/>
    </xf>
    <xf numFmtId="166" fontId="4" fillId="6" borderId="2" applyAlignment="1" pivotButton="0" quotePrefix="0" xfId="0">
      <alignment horizontal="center" vertical="center" shrinkToFit="1"/>
    </xf>
    <xf numFmtId="0" fontId="4" fillId="6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general" vertical="center" shrinkToFit="1"/>
    </xf>
    <xf numFmtId="0" fontId="4" fillId="6" borderId="2" applyAlignment="1" pivotButton="0" quotePrefix="0" xfId="0">
      <alignment horizontal="center" vertical="center" shrinkToFit="1"/>
    </xf>
    <xf numFmtId="0" fontId="8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general" vertical="center" shrinkToFi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general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shrinkToFit="1"/>
    </xf>
    <xf numFmtId="0" fontId="4" fillId="7" borderId="2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general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 shrinkToFit="1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general"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shrinkToFit="1"/>
    </xf>
    <xf numFmtId="165" fontId="7" fillId="0" borderId="0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general" vertical="center" shrinkToFit="1"/>
    </xf>
    <xf numFmtId="167" fontId="7" fillId="0" borderId="0" applyAlignment="1" pivotButton="0" quotePrefix="0" xfId="2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 shrinkToFit="1"/>
    </xf>
    <xf numFmtId="165" fontId="8" fillId="2" borderId="1" applyAlignment="1" pivotButton="0" quotePrefix="0" xfId="0">
      <alignment horizontal="center" vertical="center" shrinkToFit="1"/>
    </xf>
    <xf numFmtId="166" fontId="8" fillId="2" borderId="1" applyAlignment="1" pivotButton="0" quotePrefix="0" xfId="0">
      <alignment horizontal="center" vertical="center" shrinkToFi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shrinkToFit="1"/>
    </xf>
    <xf numFmtId="0" fontId="8" fillId="2" borderId="1" applyAlignment="1" pivotButton="0" quotePrefix="0" xfId="0">
      <alignment horizontal="center" vertical="center" shrinkToFi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shrinkToFi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Comma [0]" xfId="6"/>
  </cellStyles>
  <dxfs count="10">
    <dxf>
      <fill>
        <patternFill patternType="solid">
          <fgColor rgb="FFC6E0B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4B184"/>
          <bgColor rgb="FF000000"/>
        </patternFill>
      </fill>
    </dxf>
    <dxf>
      <fill>
        <patternFill patternType="solid">
          <fgColor rgb="FFFBE5D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3"/>
      <rgbColor rgb="FF808080"/>
      <rgbColor rgb="FF9999FF"/>
      <rgbColor rgb="FF993366"/>
      <rgbColor rgb="FFFBE5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4B18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85" workbookViewId="0">
      <pane xSplit="12" ySplit="4" topLeftCell="Q5" activePane="bottomRight" state="frozen"/>
      <selection pane="topLeft" activeCell="A1" activeCellId="0" sqref="A1"/>
      <selection pane="topRight" activeCell="Q1" activeCellId="0" sqref="Q1"/>
      <selection pane="bottomLeft" activeCell="A5" activeCellId="0" sqref="A5"/>
      <selection pane="bottomRight" activeCell="B1" activeCellId="0" sqref="B1"/>
    </sheetView>
  </sheetViews>
  <sheetFormatPr baseColWidth="8" defaultColWidth="9" defaultRowHeight="13.55" zeroHeight="0" outlineLevelRow="0"/>
  <cols>
    <col width="4.25" customWidth="1" style="61" min="1" max="1"/>
    <col width="5.5" customWidth="1" style="62" min="2" max="2"/>
    <col width="5.75" customWidth="1" style="63" min="3" max="3"/>
    <col width="5.88" customWidth="1" style="64" min="4" max="4"/>
    <col width="12.88" customWidth="1" style="61" min="5" max="5"/>
    <col width="40.38" customWidth="1" style="65" min="6" max="6"/>
    <col width="50.88" customWidth="1" style="65" min="7" max="7"/>
    <col width="15.25" customWidth="1" style="65" min="8" max="8"/>
    <col width="8" customWidth="1" style="61" min="9" max="9"/>
    <col width="7.88" customWidth="1" style="66" min="10" max="10"/>
    <col width="10.5" customWidth="1" style="61" min="11" max="11"/>
    <col width="15.25" customWidth="1" style="61" min="12" max="12"/>
    <col width="51.5" customWidth="1" style="65" min="13" max="13"/>
    <col width="8.880000000000001" customWidth="1" style="65" min="14" max="14"/>
    <col width="17.88" customWidth="1" style="65" min="15" max="15"/>
    <col width="13" customWidth="1" style="61" min="16" max="16"/>
    <col width="11.13" customWidth="1" style="61" min="17" max="17"/>
    <col width="17" customWidth="1" style="65" min="18" max="18"/>
    <col width="9" customWidth="1" style="67" min="19" max="16384"/>
  </cols>
  <sheetData>
    <row r="1" ht="24.45" customHeight="1" s="68">
      <c r="A1" s="69" t="inlineStr">
        <is>
          <t>■ 이십삼쩜오 브랜드 제품 주문서 정리본</t>
        </is>
      </c>
    </row>
    <row r="2" ht="14.9" customFormat="1" customHeight="1" s="70">
      <c r="A2" s="71" t="n"/>
      <c r="B2" s="72" t="n"/>
      <c r="C2" s="73" t="n"/>
      <c r="D2" s="74" t="n"/>
      <c r="E2" s="71" t="n"/>
      <c r="F2" s="75" t="n"/>
      <c r="G2" s="75" t="n"/>
      <c r="H2" s="75" t="n"/>
      <c r="I2" s="71">
        <f>SUM(I4:I25)</f>
        <v/>
      </c>
      <c r="J2" s="66">
        <f>SUM(J4:J25)</f>
        <v/>
      </c>
      <c r="K2" s="76" t="n"/>
      <c r="L2" s="76">
        <f>J2*K2</f>
        <v/>
      </c>
      <c r="M2" s="75" t="n"/>
      <c r="N2" s="75" t="n"/>
      <c r="O2" s="75" t="n"/>
      <c r="P2" s="71">
        <f>COUNTA(P4:P1048576)</f>
        <v/>
      </c>
      <c r="Q2" s="71" t="n"/>
      <c r="R2" s="75" t="n"/>
    </row>
    <row r="3" ht="14.9" customFormat="1" customHeight="1" s="61">
      <c r="A3" s="77" t="inlineStr">
        <is>
          <t>NO</t>
        </is>
      </c>
      <c r="B3" s="78" t="inlineStr">
        <is>
          <t>년</t>
        </is>
      </c>
      <c r="C3" s="79" t="inlineStr">
        <is>
          <t>월</t>
        </is>
      </c>
      <c r="D3" s="80" t="inlineStr">
        <is>
          <t>일</t>
        </is>
      </c>
      <c r="E3" s="81" t="inlineStr">
        <is>
          <t>주문번호</t>
        </is>
      </c>
      <c r="F3" s="82" t="inlineStr">
        <is>
          <t>상품명</t>
        </is>
      </c>
      <c r="G3" s="83" t="inlineStr">
        <is>
          <t>옵션</t>
        </is>
      </c>
      <c r="H3" s="83" t="inlineStr">
        <is>
          <t>상품코드</t>
        </is>
      </c>
      <c r="I3" s="84" t="inlineStr">
        <is>
          <t>배송건수</t>
        </is>
      </c>
      <c r="J3" s="85" t="inlineStr">
        <is>
          <t>판매수량</t>
        </is>
      </c>
      <c r="K3" s="81" t="inlineStr">
        <is>
          <t>수령인명</t>
        </is>
      </c>
      <c r="L3" s="81" t="inlineStr">
        <is>
          <t>수령인 연락처</t>
        </is>
      </c>
      <c r="M3" s="82" t="inlineStr">
        <is>
          <t>배송지 주소</t>
        </is>
      </c>
      <c r="N3" s="82" t="inlineStr">
        <is>
          <t>우편번호</t>
        </is>
      </c>
      <c r="O3" s="82" t="inlineStr">
        <is>
          <t>특이사항</t>
        </is>
      </c>
      <c r="P3" s="84" t="inlineStr">
        <is>
          <t>비고</t>
        </is>
      </c>
      <c r="Q3" s="86" t="inlineStr">
        <is>
          <t>택배사</t>
        </is>
      </c>
      <c r="R3" s="87" t="inlineStr">
        <is>
          <t>택배운송장</t>
        </is>
      </c>
    </row>
    <row r="4" ht="14.25" customHeight="1" s="68"/>
    <row r="5" ht="14.25" customHeight="1" s="68"/>
    <row r="6" ht="14.25" customHeight="1" s="68"/>
    <row r="7" ht="14.25" customHeight="1" s="68"/>
    <row r="8" ht="14.9" customHeight="1" s="68"/>
    <row r="9" ht="14.9" customHeight="1" s="68"/>
    <row r="10" ht="14.9" customHeight="1" s="68"/>
    <row r="11" ht="14.9" customHeight="1" s="68"/>
    <row r="12" ht="14.9" customHeight="1" s="68"/>
    <row r="13" ht="14.9" customHeight="1" s="68"/>
    <row r="14" ht="14.9" customHeight="1" s="68"/>
    <row r="15" ht="14.9" customHeight="1" s="68"/>
    <row r="16" ht="14.9" customHeight="1" s="68"/>
    <row r="17" ht="14.9" customHeight="1" s="68"/>
    <row r="18" ht="14.9" customHeight="1" s="68"/>
    <row r="19" ht="14.9" customHeight="1" s="68"/>
    <row r="20" ht="14.9" customHeight="1" s="68"/>
    <row r="21" ht="14.9" customHeight="1" s="68"/>
    <row r="22" ht="14.9" customHeight="1" s="68"/>
    <row r="23" ht="14.9" customHeight="1" s="68"/>
    <row r="24" ht="14.9" customHeight="1" s="68"/>
    <row r="25" ht="14.9" customHeight="1" s="68"/>
  </sheetData>
  <autoFilter ref="A3:R25"/>
  <conditionalFormatting sqref="P1:P1048576">
    <cfRule type="cellIs" rank="0" priority="2" equalAverage="0" operator="equal" aboveAverage="0" dxfId="9" text="" percent="0" bottom="0">
      <formula>"지인"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language xmlns:dc="http://purl.org/dc/elements/1.1/">en-US</dc:language>
  <dcterms:created xmlns:dcterms="http://purl.org/dc/terms/" xmlns:xsi="http://www.w3.org/2001/XMLSchema-instance" xsi:type="dcterms:W3CDTF">2026-09-08T02:24:35Z</dcterms:created>
  <dcterms:modified xmlns:dcterms="http://purl.org/dc/terms/" xmlns:xsi="http://www.w3.org/2001/XMLSchema-instance" xsi:type="dcterms:W3CDTF">2026-09-08T08:15:51Z</dcterms:modified>
  <cp:lastModifiedBy>235_h</cp:lastModifiedBy>
  <cp:version>1300.0100.01</cp:version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