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5760" windowWidth="29040" windowHeight="15720" tabRatio="600" firstSheet="0" autoFilterDateGrouping="1"/>
  </bookViews>
  <sheets>
    <sheet name="TEMPLATE(MSNA)" sheetId="1" state="visible" r:id="rId1"/>
  </sheets>
  <definedNames>
    <definedName name="_xlnm._FilterDatabase" localSheetId="0" hidden="1">'TEMPLATE(MSNA)'!$A$7:$AP$1730</definedName>
  </definedNames>
  <calcPr calcId="191029" fullCalcOnLoad="1"/>
</workbook>
</file>

<file path=xl/styles.xml><?xml version="1.0" encoding="utf-8"?>
<styleSheet xmlns="http://schemas.openxmlformats.org/spreadsheetml/2006/main">
  <numFmts count="15">
    <numFmt numFmtId="164" formatCode="000\-0000\-0000"/>
    <numFmt numFmtId="165" formatCode="_-* #,##0_-;\-* #,##0_-;_-* &quot;-&quot;_-;_-@_-"/>
    <numFmt numFmtId="166" formatCode="0_);[Red]\(0\)"/>
    <numFmt numFmtId="167" formatCode="_-* #,##0.0_-;\-* #,##0.0_-;_-* &quot;-&quot;_-;_-@_-"/>
    <numFmt numFmtId="168" formatCode="#,##0&quot;월&quot;"/>
    <numFmt numFmtId="169" formatCode="#,##0&quot;일&quot;"/>
    <numFmt numFmtId="170" formatCode="_-* #,##0.00_-;\-* #,##0.00_-;_-* &quot;-&quot;_-;_-@_-"/>
    <numFmt numFmtId="171" formatCode="_-* #,##0.00_-;\-* #,##0.00_-;_-* &quot;-&quot;??_-;_-@_-"/>
    <numFmt numFmtId="172" formatCode="###0&quot;월&quot;"/>
    <numFmt numFmtId="173" formatCode="###0&quot;일&quot;"/>
    <numFmt numFmtId="174" formatCode="#,##0;[Red]\▲#,##0"/>
    <numFmt numFmtId="175" formatCode="#,##0.00;[Red]\▲#,##0.00"/>
    <numFmt numFmtId="176" formatCode="0_ "/>
    <numFmt numFmtId="177" formatCode="###0&quot;년&quot;"/>
    <numFmt numFmtId="178" formatCode="_-[$$-409]* #,##0.000_ ;_-[$$-409]* \-#,##0.000\ ;_-[$$-409]* &quot;-&quot;??_ ;_-@_ "/>
  </numFmts>
  <fonts count="36">
    <font>
      <name val="나눔고딕"/>
      <charset val="129"/>
      <family val="2"/>
      <color theme="1"/>
      <sz val="11"/>
    </font>
    <font>
      <name val="맑은 고딕"/>
      <charset val="129"/>
      <family val="2"/>
      <color theme="1"/>
      <sz val="11"/>
      <scheme val="minor"/>
    </font>
    <font>
      <name val="나눔고딕"/>
      <charset val="129"/>
      <family val="2"/>
      <color theme="1"/>
      <sz val="11"/>
    </font>
    <font>
      <name val="나눔고딕 ExtraBold"/>
      <charset val="129"/>
      <family val="3"/>
      <color theme="1"/>
      <sz val="20"/>
    </font>
    <font>
      <name val="나눔고딕"/>
      <charset val="129"/>
      <family val="2"/>
      <sz val="8"/>
    </font>
    <font>
      <name val="나눔고딕 ExtraBold"/>
      <charset val="129"/>
      <family val="3"/>
      <color theme="0"/>
      <sz val="11"/>
    </font>
    <font>
      <name val="나눔고딕 ExtraBold"/>
      <charset val="129"/>
      <family val="3"/>
      <color theme="1"/>
      <sz val="11"/>
    </font>
    <font>
      <name val="나눔고딕"/>
      <charset val="129"/>
      <family val="3"/>
      <b val="1"/>
      <color theme="1"/>
      <sz val="11"/>
    </font>
    <font>
      <name val="맑은 고딕"/>
      <charset val="129"/>
      <family val="3"/>
      <color theme="1"/>
      <sz val="11"/>
    </font>
    <font>
      <name val="나눔고딕"/>
      <charset val="129"/>
      <family val="3"/>
      <sz val="11"/>
    </font>
    <font>
      <name val="맑은 고딕"/>
      <charset val="129"/>
      <family val="3"/>
      <sz val="8"/>
      <scheme val="minor"/>
    </font>
    <font>
      <name val="맑은 고딕"/>
      <family val="2"/>
      <color indexed="8"/>
      <sz val="11"/>
      <scheme val="minor"/>
    </font>
    <font>
      <name val="나눔고딕 ExtraBold"/>
      <charset val="129"/>
      <family val="3"/>
      <sz val="11"/>
    </font>
    <font>
      <name val="나눔고딕"/>
      <charset val="129"/>
      <family val="2"/>
      <color rgb="FF0000FF"/>
      <sz val="11"/>
    </font>
    <font>
      <name val="맑은 고딕"/>
      <charset val="129"/>
      <family val="2"/>
      <color theme="1"/>
      <sz val="11"/>
      <scheme val="minor"/>
    </font>
    <font>
      <name val="Calibri"/>
      <family val="2"/>
      <color indexed="8"/>
      <sz val="11"/>
    </font>
    <font>
      <name val="맑은 고딕"/>
      <family val="2"/>
      <color theme="1"/>
      <sz val="11"/>
      <scheme val="minor"/>
    </font>
    <font>
      <name val="나눔고딕"/>
      <charset val="129"/>
      <family val="3"/>
      <color theme="1"/>
      <sz val="11"/>
    </font>
    <font>
      <name val="나눔고딕"/>
      <charset val="129"/>
      <family val="3"/>
      <color rgb="FF000000"/>
      <sz val="11"/>
    </font>
    <font>
      <name val="나눔고딕"/>
      <charset val="129"/>
      <family val="3"/>
      <color rgb="FF222222"/>
      <sz val="11"/>
    </font>
    <font>
      <name val="맑은 고딕"/>
      <charset val="129"/>
      <family val="2"/>
      <sz val="8"/>
      <scheme val="minor"/>
    </font>
    <font>
      <name val="NanumGothic"/>
      <charset val="129"/>
      <family val="3"/>
      <color rgb="FF222222"/>
      <sz val="11"/>
    </font>
    <font>
      <name val="맑은 고딕"/>
      <charset val="129"/>
      <family val="3"/>
      <sz val="11"/>
    </font>
    <font>
      <name val="나눔고딕"/>
      <charset val="129"/>
      <family val="3"/>
      <color indexed="8"/>
      <sz val="11"/>
    </font>
    <font>
      <name val="Calibri"/>
      <family val="2"/>
      <sz val="12"/>
    </font>
    <font>
      <name val="나눔고딕"/>
      <charset val="129"/>
      <family val="3"/>
      <color rgb="FF3D3C3E"/>
      <sz val="11"/>
    </font>
    <font>
      <name val="돋움"/>
      <charset val="129"/>
      <family val="3"/>
      <sz val="8"/>
    </font>
    <font>
      <name val="Arial"/>
      <family val="2"/>
      <sz val="10"/>
    </font>
    <font>
      <name val="나눔고딕"/>
      <charset val="129"/>
      <family val="3"/>
      <sz val="12"/>
    </font>
    <font>
      <name val="Arial"/>
      <family val="2"/>
      <sz val="11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2"/>
      <color theme="10"/>
      <sz val="11"/>
      <u val="single"/>
      <scheme val="minor"/>
    </font>
    <font>
      <name val="Noto Sans KR"/>
      <charset val="129"/>
      <family val="3"/>
      <b val="1"/>
      <color rgb="FF3D3C3E"/>
      <sz val="11"/>
    </font>
    <font>
      <name val="NanumGothic"/>
      <charset val="129"/>
      <family val="3"/>
      <color rgb="FF222222"/>
      <sz val="9"/>
    </font>
    <font>
      <name val="나눔고딕"/>
      <charset val="129"/>
      <family val="3"/>
      <color theme="1"/>
      <sz val="12"/>
    </font>
    <font>
      <name val="나눔고딕"/>
      <family val="3"/>
      <sz val="12"/>
    </font>
  </fonts>
  <fills count="18">
    <fill>
      <patternFill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FFFFFF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FCBCBC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indexed="9"/>
      </patternFill>
    </fill>
    <fill>
      <patternFill patternType="solid">
        <fgColor theme="5" tint="0.5999938962981048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hair">
        <color auto="1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rgb="FFD1CBCB"/>
      </bottom>
      <diagonal/>
    </border>
    <border>
      <left style="thin">
        <color indexed="64"/>
      </left>
      <right style="thin">
        <color rgb="FF000000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rgb="FF000000"/>
      </right>
      <top style="hair">
        <color indexed="64"/>
      </top>
      <bottom style="thin">
        <color rgb="FF00000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rgb="FFE8E5E5"/>
      </right>
      <top/>
      <bottom style="thin">
        <color rgb="FFD1CBCB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64"/>
      </left>
      <right/>
      <top style="thick">
        <color indexed="64"/>
      </top>
      <bottom style="hair">
        <color indexed="64"/>
      </bottom>
      <diagonal/>
    </border>
  </borders>
  <cellStyleXfs count="26">
    <xf numFmtId="0" fontId="2" fillId="0" borderId="0" applyAlignment="1">
      <alignment vertical="center"/>
    </xf>
    <xf numFmtId="41" fontId="2" fillId="0" borderId="0" applyAlignment="1">
      <alignment vertical="center"/>
    </xf>
    <xf numFmtId="0" fontId="11" fillId="0" borderId="0" applyAlignment="1">
      <alignment vertical="center"/>
    </xf>
    <xf numFmtId="0" fontId="14" fillId="0" borderId="0" applyAlignment="1">
      <alignment vertical="center"/>
    </xf>
    <xf numFmtId="0" fontId="15" fillId="0" borderId="0"/>
    <xf numFmtId="0" fontId="16" fillId="0" borderId="0"/>
    <xf numFmtId="41" fontId="14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41" fontId="14" fillId="0" borderId="0" applyAlignment="1">
      <alignment vertical="center"/>
    </xf>
    <xf numFmtId="41" fontId="14" fillId="0" borderId="0" applyAlignment="1">
      <alignment vertical="center"/>
    </xf>
    <xf numFmtId="0" fontId="24" fillId="0" borderId="0"/>
    <xf numFmtId="41" fontId="14" fillId="0" borderId="0" applyAlignment="1">
      <alignment vertical="center"/>
    </xf>
    <xf numFmtId="0" fontId="27" fillId="0" borderId="0"/>
    <xf numFmtId="178" fontId="14" fillId="0" borderId="0" applyAlignment="1">
      <alignment vertical="center"/>
    </xf>
    <xf numFmtId="41" fontId="14" fillId="0" borderId="0" applyAlignment="1">
      <alignment vertical="center"/>
    </xf>
    <xf numFmtId="178" fontId="14" fillId="0" borderId="0" applyAlignment="1">
      <alignment vertical="center"/>
    </xf>
    <xf numFmtId="9" fontId="14" fillId="0" borderId="0" applyAlignment="1">
      <alignment vertical="center"/>
    </xf>
    <xf numFmtId="41" fontId="30" fillId="0" borderId="0" applyAlignment="1">
      <alignment vertical="center"/>
    </xf>
    <xf numFmtId="41" fontId="14" fillId="0" borderId="0" applyAlignment="1">
      <alignment vertical="center"/>
    </xf>
    <xf numFmtId="0" fontId="30" fillId="0" borderId="0" applyAlignment="1">
      <alignment vertical="center"/>
    </xf>
    <xf numFmtId="178" fontId="31" fillId="0" borderId="0" applyAlignment="1">
      <alignment vertical="center"/>
    </xf>
    <xf numFmtId="41" fontId="14" fillId="0" borderId="0" applyAlignment="1">
      <alignment vertical="center"/>
    </xf>
    <xf numFmtId="41" fontId="30" fillId="0" borderId="0" applyAlignment="1">
      <alignment vertical="center"/>
    </xf>
    <xf numFmtId="41" fontId="14" fillId="0" borderId="0" applyAlignment="1">
      <alignment vertical="center"/>
    </xf>
    <xf numFmtId="178" fontId="14" fillId="0" borderId="0" applyAlignment="1">
      <alignment vertical="center"/>
    </xf>
  </cellStyleXfs>
  <cellXfs count="266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 shrinkToFit="1"/>
    </xf>
    <xf numFmtId="164" fontId="0" fillId="0" borderId="0" applyAlignment="1" pivotButton="0" quotePrefix="0" xfId="0">
      <alignment vertical="center" shrinkToFit="1"/>
    </xf>
    <xf numFmtId="0" fontId="0" fillId="0" borderId="0" applyAlignment="1" pivotButton="0" quotePrefix="0" xfId="0">
      <alignment vertical="center" shrinkToFit="1"/>
    </xf>
    <xf numFmtId="165" fontId="0" fillId="0" borderId="0" applyAlignment="1" pivotButton="0" quotePrefix="0" xfId="1">
      <alignment vertical="center" shrinkToFit="1"/>
    </xf>
    <xf numFmtId="166" fontId="0" fillId="0" borderId="0" applyAlignment="1" pivotButton="0" quotePrefix="0" xfId="0">
      <alignment horizontal="center" vertical="center" shrinkToFit="1"/>
    </xf>
    <xf numFmtId="167" fontId="0" fillId="0" borderId="0" applyAlignment="1" pivotButton="0" quotePrefix="0" xfId="1">
      <alignment vertical="center" shrinkToFit="1"/>
    </xf>
    <xf numFmtId="168" fontId="0" fillId="0" borderId="0" applyAlignment="1" pivotButton="0" quotePrefix="0" xfId="0">
      <alignment horizontal="left" vertical="center"/>
    </xf>
    <xf numFmtId="169" fontId="0" fillId="0" borderId="0" applyAlignment="1" pivotButton="0" quotePrefix="0" xfId="0">
      <alignment horizontal="left" vertical="center" shrinkToFit="1"/>
    </xf>
    <xf numFmtId="168" fontId="0" fillId="0" borderId="0" applyAlignment="1" pivotButton="0" quotePrefix="0" xfId="0">
      <alignment horizontal="left" vertical="center" shrinkToFit="1"/>
    </xf>
    <xf numFmtId="0" fontId="5" fillId="2" borderId="0" applyAlignment="1" pivotButton="0" quotePrefix="0" xfId="1">
      <alignment vertical="center"/>
    </xf>
    <xf numFmtId="0" fontId="0" fillId="2" borderId="0" applyAlignment="1" pivotButton="0" quotePrefix="0" xfId="0">
      <alignment vertical="center"/>
    </xf>
    <xf numFmtId="0" fontId="0" fillId="2" borderId="0" applyAlignment="1" pivotButton="0" quotePrefix="0" xfId="0">
      <alignment horizontal="center" vertical="center" shrinkToFit="1"/>
    </xf>
    <xf numFmtId="0" fontId="0" fillId="0" borderId="1" applyAlignment="1" pivotButton="0" quotePrefix="0" xfId="0">
      <alignment horizontal="center" vertical="center" shrinkToFit="1"/>
    </xf>
    <xf numFmtId="0" fontId="0" fillId="0" borderId="1" applyAlignment="1" pivotButton="0" quotePrefix="0" xfId="0">
      <alignment vertical="center" shrinkToFit="1"/>
    </xf>
    <xf numFmtId="168" fontId="0" fillId="0" borderId="1" applyAlignment="1" pivotButton="0" quotePrefix="0" xfId="0">
      <alignment horizontal="left" vertical="center" shrinkToFit="1"/>
    </xf>
    <xf numFmtId="169" fontId="0" fillId="0" borderId="1" applyAlignment="1" pivotButton="0" quotePrefix="0" xfId="0">
      <alignment horizontal="left" vertical="center" shrinkToFit="1"/>
    </xf>
    <xf numFmtId="164" fontId="0" fillId="0" borderId="1" applyAlignment="1" pivotButton="0" quotePrefix="0" xfId="0">
      <alignment vertical="center" shrinkToFit="1"/>
    </xf>
    <xf numFmtId="165" fontId="0" fillId="0" borderId="1" applyAlignment="1" pivotButton="0" quotePrefix="0" xfId="1">
      <alignment vertical="center" shrinkToFit="1"/>
    </xf>
    <xf numFmtId="170" fontId="0" fillId="0" borderId="1" applyAlignment="1" pivotButton="0" quotePrefix="0" xfId="1">
      <alignment vertical="center" shrinkToFit="1"/>
    </xf>
    <xf numFmtId="167" fontId="0" fillId="0" borderId="1" applyAlignment="1" pivotButton="0" quotePrefix="0" xfId="1">
      <alignment vertical="center" shrinkToFit="1"/>
    </xf>
    <xf numFmtId="166" fontId="0" fillId="0" borderId="1" applyAlignment="1" pivotButton="0" quotePrefix="0" xfId="0">
      <alignment horizontal="center" vertical="center" shrinkToFit="1"/>
    </xf>
    <xf numFmtId="171" fontId="0" fillId="0" borderId="1" applyAlignment="1" pivotButton="0" quotePrefix="0" xfId="1">
      <alignment vertical="center" shrinkToFit="1"/>
    </xf>
    <xf numFmtId="0" fontId="6" fillId="0" borderId="2" applyAlignment="1" pivotButton="0" quotePrefix="0" xfId="0">
      <alignment horizontal="center" vertical="center" shrinkToFit="1"/>
    </xf>
    <xf numFmtId="0" fontId="6" fillId="0" borderId="2" applyAlignment="1" pivotButton="0" quotePrefix="0" xfId="0">
      <alignment vertical="center" shrinkToFit="1"/>
    </xf>
    <xf numFmtId="168" fontId="6" fillId="0" borderId="2" applyAlignment="1" pivotButton="0" quotePrefix="0" xfId="0">
      <alignment horizontal="left" vertical="center" shrinkToFit="1"/>
    </xf>
    <xf numFmtId="169" fontId="6" fillId="0" borderId="2" applyAlignment="1" pivotButton="0" quotePrefix="0" xfId="0">
      <alignment horizontal="left" vertical="center" shrinkToFit="1"/>
    </xf>
    <xf numFmtId="0" fontId="6" fillId="0" borderId="2" applyAlignment="1" pivotButton="0" quotePrefix="0" xfId="0">
      <alignment vertical="center" wrapText="1" shrinkToFit="1"/>
    </xf>
    <xf numFmtId="0" fontId="6" fillId="0" borderId="2" applyAlignment="1" pivotButton="0" quotePrefix="0" xfId="0">
      <alignment horizontal="center" vertical="center" wrapText="1" shrinkToFit="1"/>
    </xf>
    <xf numFmtId="0" fontId="6" fillId="3" borderId="2" applyAlignment="1" pivotButton="0" quotePrefix="0" xfId="0">
      <alignment horizontal="center" vertical="center" shrinkToFit="1"/>
    </xf>
    <xf numFmtId="164" fontId="6" fillId="3" borderId="2" applyAlignment="1" pivotButton="0" quotePrefix="0" xfId="0">
      <alignment vertical="center" wrapText="1" shrinkToFit="1"/>
    </xf>
    <xf numFmtId="0" fontId="6" fillId="3" borderId="2" applyAlignment="1" pivotButton="0" quotePrefix="0" xfId="0">
      <alignment vertical="center" wrapText="1" shrinkToFit="1"/>
    </xf>
    <xf numFmtId="0" fontId="6" fillId="3" borderId="2" applyAlignment="1" pivotButton="0" quotePrefix="0" xfId="0">
      <alignment vertical="center" shrinkToFit="1"/>
    </xf>
    <xf numFmtId="0" fontId="7" fillId="0" borderId="3" applyAlignment="1" pivotButton="0" quotePrefix="0" xfId="0">
      <alignment vertical="center" shrinkToFit="1"/>
    </xf>
    <xf numFmtId="0" fontId="6" fillId="4" borderId="2" applyAlignment="1" pivotButton="0" quotePrefix="0" xfId="0">
      <alignment vertical="center" shrinkToFit="1"/>
    </xf>
    <xf numFmtId="165" fontId="6" fillId="0" borderId="2" applyAlignment="1" pivotButton="0" quotePrefix="0" xfId="1">
      <alignment vertical="center" shrinkToFit="1"/>
    </xf>
    <xf numFmtId="165" fontId="6" fillId="4" borderId="2" applyAlignment="1" pivotButton="0" quotePrefix="0" xfId="1">
      <alignment vertical="center" shrinkToFit="1"/>
    </xf>
    <xf numFmtId="166" fontId="6" fillId="3" borderId="2" applyAlignment="1" pivotButton="0" quotePrefix="0" xfId="0">
      <alignment horizontal="center" vertical="center" shrinkToFit="1"/>
    </xf>
    <xf numFmtId="165" fontId="6" fillId="0" borderId="2" applyAlignment="1" pivotButton="0" quotePrefix="0" xfId="1">
      <alignment vertical="center" wrapText="1" shrinkToFit="1"/>
    </xf>
    <xf numFmtId="165" fontId="5" fillId="2" borderId="2" applyAlignment="1" pivotButton="0" quotePrefix="0" xfId="1">
      <alignment vertical="center" wrapText="1" shrinkToFit="1"/>
    </xf>
    <xf numFmtId="167" fontId="5" fillId="2" borderId="2" applyAlignment="1" pivotButton="0" quotePrefix="0" xfId="1">
      <alignment vertical="center" wrapText="1" shrinkToFit="1"/>
    </xf>
    <xf numFmtId="172" fontId="9" fillId="0" borderId="4" applyAlignment="1" pivotButton="0" quotePrefix="0" xfId="0">
      <alignment horizontal="center" vertical="center" shrinkToFit="1"/>
    </xf>
    <xf numFmtId="173" fontId="9" fillId="0" borderId="4" applyAlignment="1" pivotButton="0" quotePrefix="0" xfId="0">
      <alignment horizontal="center" vertical="center" shrinkToFit="1"/>
    </xf>
    <xf numFmtId="0" fontId="9" fillId="0" borderId="4" applyAlignment="1" pivotButton="0" quotePrefix="0" xfId="0">
      <alignment horizontal="center" vertical="center" shrinkToFit="1"/>
    </xf>
    <xf numFmtId="0" fontId="11" fillId="0" borderId="0" applyAlignment="1" pivotButton="0" quotePrefix="0" xfId="2">
      <alignment vertical="center"/>
    </xf>
    <xf numFmtId="0" fontId="9" fillId="0" borderId="5" applyAlignment="1" pivotButton="0" quotePrefix="0" xfId="0">
      <alignment horizontal="center" vertical="center" shrinkToFit="1"/>
    </xf>
    <xf numFmtId="0" fontId="9" fillId="0" borderId="4" applyAlignment="1" pivotButton="0" quotePrefix="0" xfId="0">
      <alignment horizontal="left" vertical="center" shrinkToFit="1"/>
    </xf>
    <xf numFmtId="0" fontId="9" fillId="0" borderId="4" applyAlignment="1" pivotButton="0" quotePrefix="0" xfId="0">
      <alignment vertical="center" shrinkToFit="1"/>
    </xf>
    <xf numFmtId="0" fontId="12" fillId="0" borderId="4" applyAlignment="1" pivotButton="0" quotePrefix="0" xfId="1">
      <alignment horizontal="center" vertical="center" shrinkToFit="1"/>
    </xf>
    <xf numFmtId="165" fontId="9" fillId="0" borderId="4" applyAlignment="1" pivotButton="0" quotePrefix="0" xfId="1">
      <alignment vertical="center" shrinkToFit="1"/>
    </xf>
    <xf numFmtId="0" fontId="13" fillId="0" borderId="0" applyAlignment="1" pivotButton="0" quotePrefix="0" xfId="0">
      <alignment vertical="center"/>
    </xf>
    <xf numFmtId="0" fontId="9" fillId="0" borderId="4" applyAlignment="1" pivotButton="0" quotePrefix="0" xfId="0">
      <alignment horizontal="center" vertical="center"/>
    </xf>
    <xf numFmtId="165" fontId="0" fillId="0" borderId="5" applyAlignment="1" pivotButton="0" quotePrefix="0" xfId="1">
      <alignment vertical="center"/>
    </xf>
    <xf numFmtId="174" fontId="9" fillId="0" borderId="4" applyAlignment="1" pivotButton="0" quotePrefix="0" xfId="1">
      <alignment vertical="center" shrinkToFit="1"/>
    </xf>
    <xf numFmtId="175" fontId="9" fillId="0" borderId="4" applyAlignment="1" pivotButton="0" quotePrefix="0" xfId="1">
      <alignment vertical="center" shrinkToFit="1"/>
    </xf>
    <xf numFmtId="166" fontId="9" fillId="0" borderId="6" applyAlignment="1" pivotButton="0" quotePrefix="0" xfId="0">
      <alignment horizontal="center" vertical="center" shrinkToFit="1"/>
    </xf>
    <xf numFmtId="0" fontId="9" fillId="0" borderId="6" applyAlignment="1" pivotButton="0" quotePrefix="0" xfId="0">
      <alignment horizontal="center" vertical="center" shrinkToFit="1"/>
    </xf>
    <xf numFmtId="165" fontId="9" fillId="0" borderId="6" applyAlignment="1" pivotButton="0" quotePrefix="0" xfId="1">
      <alignment vertical="center" shrinkToFit="1"/>
    </xf>
    <xf numFmtId="0" fontId="17" fillId="0" borderId="4" applyAlignment="1" pivotButton="0" quotePrefix="0" xfId="3">
      <alignment horizontal="center" vertical="center"/>
    </xf>
    <xf numFmtId="0" fontId="17" fillId="6" borderId="4" applyAlignment="1" pivotButton="0" quotePrefix="0" xfId="3">
      <alignment horizontal="center" vertical="center"/>
    </xf>
    <xf numFmtId="176" fontId="17" fillId="0" borderId="4" applyAlignment="1" pivotButton="0" quotePrefix="0" xfId="3">
      <alignment horizontal="center" vertical="center" shrinkToFit="1"/>
    </xf>
    <xf numFmtId="0" fontId="18" fillId="5" borderId="4" applyAlignment="1" pivotButton="0" quotePrefix="0" xfId="3">
      <alignment horizontal="center" vertical="center"/>
    </xf>
    <xf numFmtId="49" fontId="19" fillId="0" borderId="7" applyAlignment="1" pivotButton="0" quotePrefix="0" xfId="3">
      <alignment horizontal="center" vertical="center" wrapText="1"/>
    </xf>
    <xf numFmtId="49" fontId="19" fillId="0" borderId="4" applyAlignment="1" pivotButton="0" quotePrefix="0" xfId="3">
      <alignment horizontal="center" vertical="center" wrapText="1"/>
    </xf>
    <xf numFmtId="0" fontId="9" fillId="0" borderId="7" applyAlignment="1" pivotButton="0" quotePrefix="0" xfId="3">
      <alignment horizontal="center" vertical="center"/>
    </xf>
    <xf numFmtId="0" fontId="9" fillId="0" borderId="4" applyAlignment="1" pivotButton="0" quotePrefix="0" xfId="3">
      <alignment horizontal="center" vertical="center"/>
    </xf>
    <xf numFmtId="0" fontId="18" fillId="5" borderId="4" applyAlignment="1" pivotButton="0" quotePrefix="0" xfId="3">
      <alignment horizontal="center" vertical="center" shrinkToFit="1"/>
    </xf>
    <xf numFmtId="49" fontId="9" fillId="0" borderId="4" applyAlignment="1" pivotButton="0" quotePrefix="0" xfId="7">
      <alignment horizontal="center" vertical="center"/>
    </xf>
    <xf numFmtId="0" fontId="18" fillId="6" borderId="4" applyAlignment="1" pivotButton="0" quotePrefix="0" xfId="3">
      <alignment horizontal="center" vertical="center" shrinkToFit="1"/>
    </xf>
    <xf numFmtId="173" fontId="9" fillId="0" borderId="8" applyAlignment="1" pivotButton="0" quotePrefix="0" xfId="0">
      <alignment horizontal="center" vertical="center" shrinkToFit="1"/>
    </xf>
    <xf numFmtId="49" fontId="0" fillId="0" borderId="0" pivotButton="0" quotePrefix="0" xfId="0"/>
    <xf numFmtId="0" fontId="0" fillId="0" borderId="9" applyAlignment="1" pivotButton="0" quotePrefix="0" xfId="0">
      <alignment vertical="center"/>
    </xf>
    <xf numFmtId="0" fontId="17" fillId="0" borderId="7" applyAlignment="1" pivotButton="0" quotePrefix="0" xfId="0">
      <alignment horizontal="center" vertical="center"/>
    </xf>
    <xf numFmtId="49" fontId="21" fillId="0" borderId="10" applyAlignment="1" pivotButton="0" quotePrefix="0" xfId="8">
      <alignment horizontal="center" vertical="center" wrapText="1"/>
    </xf>
    <xf numFmtId="0" fontId="17" fillId="0" borderId="4" applyAlignment="1" pivotButton="0" quotePrefix="0" xfId="0">
      <alignment horizontal="center" vertical="center"/>
    </xf>
    <xf numFmtId="49" fontId="21" fillId="0" borderId="5" applyAlignment="1" pivotButton="0" quotePrefix="0" xfId="8">
      <alignment horizontal="center" vertical="center" wrapText="1"/>
    </xf>
    <xf numFmtId="49" fontId="21" fillId="0" borderId="11" applyAlignment="1" pivotButton="0" quotePrefix="0" xfId="8">
      <alignment horizontal="center" vertical="center" wrapText="1"/>
    </xf>
    <xf numFmtId="176" fontId="17" fillId="6" borderId="4" applyAlignment="1" pivotButton="0" quotePrefix="0" xfId="0">
      <alignment horizontal="center" vertical="center" shrinkToFit="1"/>
    </xf>
    <xf numFmtId="0" fontId="18" fillId="5" borderId="4" applyAlignment="1" pivotButton="0" quotePrefix="0" xfId="0">
      <alignment horizontal="center" vertical="center" shrinkToFit="1"/>
    </xf>
    <xf numFmtId="0" fontId="17" fillId="6" borderId="4" applyAlignment="1" pivotButton="0" quotePrefix="0" xfId="0">
      <alignment horizontal="center" vertical="center"/>
    </xf>
    <xf numFmtId="49" fontId="22" fillId="0" borderId="12" applyAlignment="1" pivotButton="0" quotePrefix="0" xfId="7">
      <alignment horizontal="center" vertical="center"/>
    </xf>
    <xf numFmtId="49" fontId="22" fillId="0" borderId="13" applyAlignment="1" pivotButton="0" quotePrefix="0" xfId="7">
      <alignment horizontal="center" vertical="center"/>
    </xf>
    <xf numFmtId="177" fontId="9" fillId="0" borderId="6" applyAlignment="1" pivotButton="0" quotePrefix="0" xfId="0">
      <alignment horizontal="center" vertical="center" shrinkToFit="1"/>
    </xf>
    <xf numFmtId="177" fontId="9" fillId="0" borderId="4" applyAlignment="1" pivotButton="0" quotePrefix="0" xfId="0">
      <alignment horizontal="center" vertical="center" shrinkToFit="1"/>
    </xf>
    <xf numFmtId="177" fontId="9" fillId="0" borderId="0" applyAlignment="1" pivotButton="0" quotePrefix="0" xfId="0">
      <alignment horizontal="center" vertical="center" shrinkToFit="1"/>
    </xf>
    <xf numFmtId="49" fontId="11" fillId="0" borderId="9" pivotButton="0" quotePrefix="0" xfId="2"/>
    <xf numFmtId="49" fontId="11" fillId="0" borderId="0" pivotButton="0" quotePrefix="0" xfId="2"/>
    <xf numFmtId="0" fontId="0" fillId="7" borderId="0" applyAlignment="1" pivotButton="0" quotePrefix="0" xfId="0">
      <alignment vertical="center"/>
    </xf>
    <xf numFmtId="0" fontId="17" fillId="6" borderId="7" applyAlignment="1" pivotButton="0" quotePrefix="0" xfId="0">
      <alignment horizontal="center" vertical="center"/>
    </xf>
    <xf numFmtId="49" fontId="19" fillId="6" borderId="7" applyAlignment="1" pivotButton="0" quotePrefix="0" xfId="8">
      <alignment horizontal="center" vertical="center" wrapText="1"/>
    </xf>
    <xf numFmtId="49" fontId="19" fillId="6" borderId="4" applyAlignment="1" pivotButton="0" quotePrefix="0" xfId="8">
      <alignment horizontal="center" vertical="center" wrapText="1"/>
    </xf>
    <xf numFmtId="49" fontId="9" fillId="6" borderId="4" applyAlignment="1" pivotButton="0" quotePrefix="0" xfId="7">
      <alignment horizontal="center" vertical="center"/>
    </xf>
    <xf numFmtId="165" fontId="12" fillId="0" borderId="4" applyAlignment="1" pivotButton="0" quotePrefix="0" xfId="1">
      <alignment horizontal="center" vertical="center" shrinkToFit="1"/>
    </xf>
    <xf numFmtId="0" fontId="0" fillId="0" borderId="0" pivotButton="0" quotePrefix="0" xfId="0"/>
    <xf numFmtId="49" fontId="0" fillId="0" borderId="9" pivotButton="0" quotePrefix="0" xfId="0"/>
    <xf numFmtId="0" fontId="11" fillId="8" borderId="0" applyAlignment="1" pivotButton="0" quotePrefix="0" xfId="2">
      <alignment vertical="center"/>
    </xf>
    <xf numFmtId="49" fontId="14" fillId="0" borderId="0" pivotButton="0" quotePrefix="0" xfId="3"/>
    <xf numFmtId="0" fontId="11" fillId="0" borderId="9" applyAlignment="1" pivotButton="0" quotePrefix="0" xfId="2">
      <alignment vertical="center"/>
    </xf>
    <xf numFmtId="0" fontId="17" fillId="0" borderId="4" applyAlignment="1" pivotButton="0" quotePrefix="0" xfId="3">
      <alignment horizontal="center" vertical="center" shrinkToFit="1"/>
    </xf>
    <xf numFmtId="49" fontId="9" fillId="0" borderId="4" applyAlignment="1" pivotButton="0" quotePrefix="0" xfId="2">
      <alignment horizontal="center" vertical="center"/>
    </xf>
    <xf numFmtId="0" fontId="23" fillId="0" borderId="4" applyAlignment="1" pivotButton="0" quotePrefix="0" xfId="3">
      <alignment horizontal="center"/>
    </xf>
    <xf numFmtId="166" fontId="17" fillId="6" borderId="4" applyAlignment="1" pivotButton="0" quotePrefix="0" xfId="3">
      <alignment horizontal="center" vertical="center" shrinkToFit="1"/>
    </xf>
    <xf numFmtId="0" fontId="17" fillId="6" borderId="7" applyAlignment="1" pivotButton="0" quotePrefix="0" xfId="3">
      <alignment horizontal="center" vertical="center"/>
    </xf>
    <xf numFmtId="0" fontId="17" fillId="6" borderId="4" applyAlignment="1" pivotButton="0" quotePrefix="0" xfId="3">
      <alignment horizontal="center" vertical="center" shrinkToFit="1"/>
    </xf>
    <xf numFmtId="0" fontId="18" fillId="5" borderId="7" applyAlignment="1" pivotButton="0" quotePrefix="0" xfId="0">
      <alignment horizontal="center" vertical="center"/>
    </xf>
    <xf numFmtId="176" fontId="18" fillId="5" borderId="7" applyAlignment="1" pivotButton="0" quotePrefix="0" xfId="0">
      <alignment horizontal="center" vertical="center" shrinkToFit="1"/>
    </xf>
    <xf numFmtId="0" fontId="9" fillId="6" borderId="4" applyAlignment="1" pivotButton="0" quotePrefix="0" xfId="11">
      <alignment horizontal="center"/>
    </xf>
    <xf numFmtId="166" fontId="25" fillId="6" borderId="4" applyAlignment="1" pivotButton="0" quotePrefix="0" xfId="0">
      <alignment horizontal="center" vertical="center"/>
    </xf>
    <xf numFmtId="176" fontId="17" fillId="0" borderId="4" applyAlignment="1" pivotButton="0" quotePrefix="0" xfId="0">
      <alignment horizontal="center" vertical="center" shrinkToFit="1"/>
    </xf>
    <xf numFmtId="0" fontId="17" fillId="6" borderId="4" applyAlignment="1" pivotButton="0" quotePrefix="0" xfId="0">
      <alignment horizontal="center" vertical="center" shrinkToFit="1"/>
    </xf>
    <xf numFmtId="49" fontId="19" fillId="0" borderId="7" applyAlignment="1" pivotButton="0" quotePrefix="0" xfId="0">
      <alignment horizontal="center" vertical="center" wrapText="1"/>
    </xf>
    <xf numFmtId="49" fontId="19" fillId="0" borderId="4" applyAlignment="1" pivotButton="0" quotePrefix="0" xfId="0">
      <alignment horizontal="center" vertical="center" wrapText="1"/>
    </xf>
    <xf numFmtId="0" fontId="18" fillId="6" borderId="4" applyAlignment="1" pivotButton="0" quotePrefix="0" xfId="0">
      <alignment horizontal="center" vertical="center" shrinkToFit="1"/>
    </xf>
    <xf numFmtId="0" fontId="18" fillId="5" borderId="4" applyAlignment="1" pivotButton="0" quotePrefix="0" xfId="0">
      <alignment horizontal="center" vertical="center"/>
    </xf>
    <xf numFmtId="176" fontId="17" fillId="0" borderId="7" applyAlignment="1" pivotButton="0" quotePrefix="0" xfId="0">
      <alignment horizontal="center" vertical="center" shrinkToFit="1"/>
    </xf>
    <xf numFmtId="176" fontId="18" fillId="5" borderId="4" applyAlignment="1" pivotButton="0" quotePrefix="0" xfId="0">
      <alignment horizontal="center" vertical="center" shrinkToFit="1"/>
    </xf>
    <xf numFmtId="0" fontId="16" fillId="0" borderId="0" pivotButton="0" quotePrefix="0" xfId="5"/>
    <xf numFmtId="0" fontId="18" fillId="0" borderId="4" applyAlignment="1" pivotButton="0" quotePrefix="0" xfId="0">
      <alignment horizontal="center" vertical="center"/>
    </xf>
    <xf numFmtId="0" fontId="18" fillId="9" borderId="4" applyAlignment="1" pivotButton="0" quotePrefix="0" xfId="11">
      <alignment horizontal="center"/>
    </xf>
    <xf numFmtId="0" fontId="23" fillId="0" borderId="4" applyAlignment="1" pivotButton="0" quotePrefix="0" xfId="0">
      <alignment horizontal="center"/>
    </xf>
    <xf numFmtId="166" fontId="17" fillId="6" borderId="4" applyAlignment="1" pivotButton="0" quotePrefix="0" xfId="0">
      <alignment horizontal="center" vertical="center" shrinkToFit="1"/>
    </xf>
    <xf numFmtId="0" fontId="27" fillId="0" borderId="14" pivotButton="0" quotePrefix="0" xfId="13"/>
    <xf numFmtId="3" fontId="12" fillId="0" borderId="4" applyAlignment="1" pivotButton="0" quotePrefix="0" xfId="1">
      <alignment horizontal="center" vertical="center" shrinkToFit="1"/>
    </xf>
    <xf numFmtId="0" fontId="11" fillId="7" borderId="0" applyAlignment="1" pivotButton="0" quotePrefix="0" xfId="2">
      <alignment vertical="center"/>
    </xf>
    <xf numFmtId="49" fontId="11" fillId="0" borderId="15" pivotButton="0" quotePrefix="0" xfId="2"/>
    <xf numFmtId="0" fontId="11" fillId="0" borderId="15" applyAlignment="1" pivotButton="0" quotePrefix="0" xfId="2">
      <alignment vertical="center"/>
    </xf>
    <xf numFmtId="176" fontId="17" fillId="3" borderId="4" applyAlignment="1" pivotButton="0" quotePrefix="0" xfId="0">
      <alignment horizontal="center" vertical="center" shrinkToFit="1"/>
    </xf>
    <xf numFmtId="0" fontId="0" fillId="10" borderId="0" applyAlignment="1" pivotButton="0" quotePrefix="0" xfId="0">
      <alignment vertical="center"/>
    </xf>
    <xf numFmtId="0" fontId="0" fillId="0" borderId="15" applyAlignment="1" pivotButton="0" quotePrefix="0" xfId="0">
      <alignment vertical="center"/>
    </xf>
    <xf numFmtId="176" fontId="17" fillId="6" borderId="7" applyAlignment="1" pivotButton="0" quotePrefix="0" xfId="0">
      <alignment horizontal="center" vertical="center" shrinkToFit="1"/>
    </xf>
    <xf numFmtId="0" fontId="18" fillId="6" borderId="4" applyAlignment="1" pivotButton="0" quotePrefix="0" xfId="0">
      <alignment horizontal="center" vertical="center"/>
    </xf>
    <xf numFmtId="0" fontId="23" fillId="6" borderId="4" applyAlignment="1" pivotButton="0" quotePrefix="0" xfId="0">
      <alignment horizontal="center"/>
    </xf>
    <xf numFmtId="176" fontId="18" fillId="6" borderId="4" applyAlignment="1" pivotButton="0" quotePrefix="0" xfId="0">
      <alignment horizontal="center" vertical="center" shrinkToFit="1"/>
    </xf>
    <xf numFmtId="0" fontId="18" fillId="5" borderId="6" applyAlignment="1" pivotButton="0" quotePrefix="0" xfId="0">
      <alignment horizontal="center" vertical="center"/>
    </xf>
    <xf numFmtId="49" fontId="19" fillId="0" borderId="6" applyAlignment="1" pivotButton="0" quotePrefix="0" xfId="0">
      <alignment horizontal="center" vertical="center" wrapText="1"/>
    </xf>
    <xf numFmtId="0" fontId="9" fillId="6" borderId="4" applyAlignment="1" pivotButton="0" quotePrefix="0" xfId="0">
      <alignment horizontal="center" vertical="center"/>
    </xf>
    <xf numFmtId="0" fontId="18" fillId="9" borderId="4" applyAlignment="1" pivotButton="0" quotePrefix="0" xfId="0">
      <alignment horizontal="center" vertical="center"/>
    </xf>
    <xf numFmtId="172" fontId="9" fillId="2" borderId="4" applyAlignment="1" pivotButton="0" quotePrefix="0" xfId="0">
      <alignment horizontal="center" vertical="center" shrinkToFit="1"/>
    </xf>
    <xf numFmtId="173" fontId="9" fillId="2" borderId="4" applyAlignment="1" pivotButton="0" quotePrefix="0" xfId="0">
      <alignment horizontal="center" vertical="center" shrinkToFit="1"/>
    </xf>
    <xf numFmtId="0" fontId="9" fillId="2" borderId="4" applyAlignment="1" pivotButton="0" quotePrefix="0" xfId="0">
      <alignment horizontal="center" vertical="center" shrinkToFit="1"/>
    </xf>
    <xf numFmtId="49" fontId="11" fillId="2" borderId="15" pivotButton="0" quotePrefix="0" xfId="2"/>
    <xf numFmtId="0" fontId="9" fillId="2" borderId="5" applyAlignment="1" pivotButton="0" quotePrefix="0" xfId="0">
      <alignment horizontal="center" vertical="center" shrinkToFit="1"/>
    </xf>
    <xf numFmtId="0" fontId="9" fillId="2" borderId="4" applyAlignment="1" pivotButton="0" quotePrefix="0" xfId="0">
      <alignment horizontal="left" vertical="center" shrinkToFit="1"/>
    </xf>
    <xf numFmtId="0" fontId="9" fillId="2" borderId="4" applyAlignment="1" pivotButton="0" quotePrefix="0" xfId="0">
      <alignment vertical="center" shrinkToFit="1"/>
    </xf>
    <xf numFmtId="0" fontId="9" fillId="2" borderId="4" applyAlignment="1" pivotButton="0" quotePrefix="0" xfId="0">
      <alignment horizontal="center" vertical="center"/>
    </xf>
    <xf numFmtId="0" fontId="12" fillId="2" borderId="4" applyAlignment="1" pivotButton="0" quotePrefix="0" xfId="1">
      <alignment horizontal="center" vertical="center" shrinkToFit="1"/>
    </xf>
    <xf numFmtId="165" fontId="9" fillId="2" borderId="4" applyAlignment="1" pivotButton="0" quotePrefix="0" xfId="1">
      <alignment vertical="center" shrinkToFit="1"/>
    </xf>
    <xf numFmtId="165" fontId="0" fillId="2" borderId="5" applyAlignment="1" pivotButton="0" quotePrefix="0" xfId="1">
      <alignment vertical="center"/>
    </xf>
    <xf numFmtId="174" fontId="9" fillId="2" borderId="4" applyAlignment="1" pivotButton="0" quotePrefix="0" xfId="1">
      <alignment vertical="center" shrinkToFit="1"/>
    </xf>
    <xf numFmtId="175" fontId="9" fillId="2" borderId="4" applyAlignment="1" pivotButton="0" quotePrefix="0" xfId="1">
      <alignment vertical="center" shrinkToFit="1"/>
    </xf>
    <xf numFmtId="166" fontId="9" fillId="2" borderId="6" applyAlignment="1" pivotButton="0" quotePrefix="0" xfId="0">
      <alignment horizontal="center" vertical="center" shrinkToFit="1"/>
    </xf>
    <xf numFmtId="0" fontId="9" fillId="2" borderId="6" applyAlignment="1" pivotButton="0" quotePrefix="0" xfId="0">
      <alignment horizontal="center" vertical="center" shrinkToFit="1"/>
    </xf>
    <xf numFmtId="165" fontId="9" fillId="2" borderId="6" applyAlignment="1" pivotButton="0" quotePrefix="0" xfId="1">
      <alignment vertical="center" shrinkToFit="1"/>
    </xf>
    <xf numFmtId="0" fontId="0" fillId="6" borderId="0" applyAlignment="1" pivotButton="0" quotePrefix="0" xfId="0">
      <alignment vertical="center"/>
    </xf>
    <xf numFmtId="49" fontId="0" fillId="0" borderId="15" pivotButton="0" quotePrefix="0" xfId="0"/>
    <xf numFmtId="49" fontId="0" fillId="8" borderId="15" pivotButton="0" quotePrefix="0" xfId="0"/>
    <xf numFmtId="49" fontId="15" fillId="0" borderId="0" applyAlignment="1" pivotButton="0" quotePrefix="0" xfId="0">
      <alignment horizontal="left" vertical="top"/>
    </xf>
    <xf numFmtId="0" fontId="18" fillId="0" borderId="7" applyAlignment="1" pivotButton="0" quotePrefix="0" xfId="0">
      <alignment horizontal="center" vertical="center"/>
    </xf>
    <xf numFmtId="0" fontId="18" fillId="9" borderId="7" applyAlignment="1" pivotButton="0" quotePrefix="0" xfId="11">
      <alignment horizontal="center"/>
    </xf>
    <xf numFmtId="0" fontId="17" fillId="0" borderId="4" applyAlignment="1" pivotButton="0" quotePrefix="0" xfId="0">
      <alignment horizontal="center" vertical="center" shrinkToFit="1"/>
    </xf>
    <xf numFmtId="0" fontId="18" fillId="6" borderId="4" applyAlignment="1" pivotButton="0" quotePrefix="0" xfId="11">
      <alignment horizontal="center"/>
    </xf>
    <xf numFmtId="0" fontId="17" fillId="11" borderId="4" applyAlignment="1" pivotButton="0" quotePrefix="0" xfId="0">
      <alignment horizontal="center" vertical="center"/>
    </xf>
    <xf numFmtId="0" fontId="28" fillId="6" borderId="16" applyAlignment="1" pivotButton="0" quotePrefix="0" xfId="0">
      <alignment horizontal="left" vertical="center" shrinkToFit="1"/>
    </xf>
    <xf numFmtId="165" fontId="0" fillId="8" borderId="5" applyAlignment="1" pivotButton="0" quotePrefix="0" xfId="1">
      <alignment vertical="center"/>
    </xf>
    <xf numFmtId="0" fontId="9" fillId="8" borderId="4" applyAlignment="1" pivotButton="0" quotePrefix="0" xfId="0">
      <alignment vertical="center" shrinkToFit="1"/>
    </xf>
    <xf numFmtId="0" fontId="28" fillId="6" borderId="17" applyAlignment="1" pivotButton="0" quotePrefix="0" xfId="0">
      <alignment horizontal="left" vertical="center" shrinkToFit="1"/>
    </xf>
    <xf numFmtId="165" fontId="17" fillId="0" borderId="4" applyAlignment="1" pivotButton="0" quotePrefix="0" xfId="1">
      <alignment vertical="center" shrinkToFit="1"/>
    </xf>
    <xf numFmtId="0" fontId="28" fillId="0" borderId="16" applyAlignment="1" pivotButton="0" quotePrefix="0" xfId="0">
      <alignment horizontal="left" vertical="center" shrinkToFit="1"/>
    </xf>
    <xf numFmtId="49" fontId="0" fillId="6" borderId="0" pivotButton="0" quotePrefix="0" xfId="0"/>
    <xf numFmtId="0" fontId="0" fillId="8" borderId="0" applyAlignment="1" pivotButton="0" quotePrefix="0" xfId="0">
      <alignment vertical="center"/>
    </xf>
    <xf numFmtId="0" fontId="0" fillId="8" borderId="15" applyAlignment="1" pivotButton="0" quotePrefix="0" xfId="0">
      <alignment vertical="center"/>
    </xf>
    <xf numFmtId="49" fontId="0" fillId="6" borderId="15" pivotButton="0" quotePrefix="0" xfId="0"/>
    <xf numFmtId="0" fontId="0" fillId="12" borderId="0" applyAlignment="1" pivotButton="0" quotePrefix="0" xfId="0">
      <alignment vertical="center"/>
    </xf>
    <xf numFmtId="49" fontId="17" fillId="0" borderId="4" applyAlignment="1" pivotButton="0" quotePrefix="0" xfId="0">
      <alignment horizontal="center" vertical="center" shrinkToFit="1"/>
    </xf>
    <xf numFmtId="0" fontId="29" fillId="0" borderId="0" applyAlignment="1" pivotButton="0" quotePrefix="0" xfId="0">
      <alignment vertical="center"/>
    </xf>
    <xf numFmtId="0" fontId="17" fillId="12" borderId="4" applyAlignment="1" pivotButton="0" quotePrefix="0" xfId="0">
      <alignment horizontal="center" vertical="center" shrinkToFit="1"/>
    </xf>
    <xf numFmtId="0" fontId="11" fillId="12" borderId="0" applyAlignment="1" pivotButton="0" quotePrefix="0" xfId="7">
      <alignment vertical="center"/>
    </xf>
    <xf numFmtId="0" fontId="23" fillId="0" borderId="4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 shrinkToFit="1"/>
    </xf>
    <xf numFmtId="0" fontId="0" fillId="13" borderId="0" applyAlignment="1" pivotButton="0" quotePrefix="0" xfId="0">
      <alignment vertical="center"/>
    </xf>
    <xf numFmtId="0" fontId="0" fillId="6" borderId="4" applyAlignment="1" pivotButton="0" quotePrefix="0" xfId="0">
      <alignment vertical="center"/>
    </xf>
    <xf numFmtId="0" fontId="9" fillId="13" borderId="4" applyAlignment="1" pivotButton="0" quotePrefix="0" xfId="0">
      <alignment horizontal="center" vertical="center"/>
    </xf>
    <xf numFmtId="49" fontId="17" fillId="13" borderId="4" applyAlignment="1" pivotButton="0" quotePrefix="0" xfId="0">
      <alignment horizontal="center" vertical="center" shrinkToFit="1"/>
    </xf>
    <xf numFmtId="0" fontId="17" fillId="13" borderId="4" applyAlignment="1" pivotButton="0" quotePrefix="0" xfId="0">
      <alignment horizontal="center" vertical="center" shrinkToFit="1"/>
    </xf>
    <xf numFmtId="0" fontId="0" fillId="14" borderId="0" applyAlignment="1" pivotButton="0" quotePrefix="0" xfId="0">
      <alignment vertical="center"/>
    </xf>
    <xf numFmtId="0" fontId="18" fillId="9" borderId="7" applyAlignment="1" pivotButton="0" quotePrefix="0" xfId="0">
      <alignment horizontal="center" vertical="center"/>
    </xf>
    <xf numFmtId="166" fontId="18" fillId="9" borderId="7" applyAlignment="1" pivotButton="0" quotePrefix="0" xfId="11">
      <alignment horizontal="center"/>
    </xf>
    <xf numFmtId="49" fontId="19" fillId="0" borderId="4" applyAlignment="1" pivotButton="0" quotePrefix="0" xfId="8">
      <alignment horizontal="center" vertical="center" wrapText="1"/>
    </xf>
    <xf numFmtId="0" fontId="11" fillId="15" borderId="0" applyAlignment="1" pivotButton="0" quotePrefix="0" xfId="2">
      <alignment vertical="center"/>
    </xf>
    <xf numFmtId="0" fontId="18" fillId="0" borderId="7" applyAlignment="1" pivotButton="0" quotePrefix="0" xfId="0">
      <alignment horizontal="center" vertical="center" shrinkToFit="1"/>
    </xf>
    <xf numFmtId="0" fontId="17" fillId="15" borderId="4" applyAlignment="1" pivotButton="0" quotePrefix="0" xfId="0">
      <alignment horizontal="center" vertical="center"/>
    </xf>
    <xf numFmtId="176" fontId="17" fillId="15" borderId="4" applyAlignment="1" pivotButton="0" quotePrefix="0" xfId="0">
      <alignment horizontal="center" vertical="center" shrinkToFit="1"/>
    </xf>
    <xf numFmtId="0" fontId="28" fillId="6" borderId="17" applyAlignment="1" pivotButton="0" quotePrefix="0" xfId="14">
      <alignment horizontal="left" vertical="center" shrinkToFit="1"/>
    </xf>
    <xf numFmtId="165" fontId="0" fillId="0" borderId="5" applyAlignment="1" pivotButton="0" quotePrefix="0" xfId="1">
      <alignment vertical="center"/>
    </xf>
    <xf numFmtId="0" fontId="28" fillId="0" borderId="17" applyAlignment="1" pivotButton="0" quotePrefix="0" xfId="16">
      <alignment horizontal="left" vertical="center" shrinkToFit="1"/>
    </xf>
    <xf numFmtId="0" fontId="17" fillId="6" borderId="18" applyAlignment="1" pivotButton="0" quotePrefix="0" xfId="0">
      <alignment horizontal="center" vertical="center"/>
    </xf>
    <xf numFmtId="49" fontId="19" fillId="0" borderId="18" applyAlignment="1" pivotButton="0" quotePrefix="0" xfId="0">
      <alignment horizontal="center" vertical="center" wrapText="1"/>
    </xf>
    <xf numFmtId="172" fontId="9" fillId="14" borderId="4" applyAlignment="1" pivotButton="0" quotePrefix="0" xfId="0">
      <alignment horizontal="center" vertical="center" shrinkToFit="1"/>
    </xf>
    <xf numFmtId="173" fontId="9" fillId="14" borderId="4" applyAlignment="1" pivotButton="0" quotePrefix="0" xfId="0">
      <alignment horizontal="center" vertical="center" shrinkToFit="1"/>
    </xf>
    <xf numFmtId="0" fontId="9" fillId="14" borderId="4" applyAlignment="1" pivotButton="0" quotePrefix="0" xfId="0">
      <alignment horizontal="center" vertical="center" shrinkToFit="1"/>
    </xf>
    <xf numFmtId="49" fontId="0" fillId="14" borderId="9" pivotButton="0" quotePrefix="0" xfId="0"/>
    <xf numFmtId="0" fontId="9" fillId="14" borderId="5" applyAlignment="1" pivotButton="0" quotePrefix="0" xfId="0">
      <alignment horizontal="center" vertical="center" shrinkToFit="1"/>
    </xf>
    <xf numFmtId="0" fontId="9" fillId="14" borderId="4" applyAlignment="1" pivotButton="0" quotePrefix="0" xfId="0">
      <alignment horizontal="left" vertical="center" shrinkToFit="1"/>
    </xf>
    <xf numFmtId="0" fontId="9" fillId="14" borderId="4" applyAlignment="1" pivotButton="0" quotePrefix="0" xfId="0">
      <alignment vertical="center" shrinkToFit="1"/>
    </xf>
    <xf numFmtId="0" fontId="9" fillId="14" borderId="4" applyAlignment="1" pivotButton="0" quotePrefix="0" xfId="0">
      <alignment horizontal="center" vertical="center"/>
    </xf>
    <xf numFmtId="0" fontId="12" fillId="14" borderId="4" applyAlignment="1" pivotButton="0" quotePrefix="0" xfId="1">
      <alignment horizontal="center" vertical="center" shrinkToFit="1"/>
    </xf>
    <xf numFmtId="165" fontId="9" fillId="14" borderId="4" applyAlignment="1" pivotButton="0" quotePrefix="0" xfId="1">
      <alignment vertical="center" shrinkToFit="1"/>
    </xf>
    <xf numFmtId="165" fontId="0" fillId="14" borderId="5" applyAlignment="1" pivotButton="0" quotePrefix="0" xfId="1">
      <alignment vertical="center"/>
    </xf>
    <xf numFmtId="174" fontId="9" fillId="14" borderId="4" applyAlignment="1" pivotButton="0" quotePrefix="0" xfId="1">
      <alignment vertical="center" shrinkToFit="1"/>
    </xf>
    <xf numFmtId="175" fontId="9" fillId="14" borderId="4" applyAlignment="1" pivotButton="0" quotePrefix="0" xfId="1">
      <alignment vertical="center" shrinkToFit="1"/>
    </xf>
    <xf numFmtId="166" fontId="9" fillId="14" borderId="6" applyAlignment="1" pivotButton="0" quotePrefix="0" xfId="0">
      <alignment horizontal="center" vertical="center" shrinkToFit="1"/>
    </xf>
    <xf numFmtId="0" fontId="9" fillId="14" borderId="6" applyAlignment="1" pivotButton="0" quotePrefix="0" xfId="0">
      <alignment horizontal="center" vertical="center" shrinkToFit="1"/>
    </xf>
    <xf numFmtId="165" fontId="9" fillId="14" borderId="6" applyAlignment="1" pivotButton="0" quotePrefix="0" xfId="1">
      <alignment vertical="center" shrinkToFit="1"/>
    </xf>
    <xf numFmtId="0" fontId="11" fillId="4" borderId="0" applyAlignment="1" pivotButton="0" quotePrefix="0" xfId="2">
      <alignment vertical="center"/>
    </xf>
    <xf numFmtId="49" fontId="15" fillId="16" borderId="0" applyAlignment="1" pivotButton="0" quotePrefix="0" xfId="2">
      <alignment horizontal="left" vertical="top"/>
    </xf>
    <xf numFmtId="0" fontId="18" fillId="9" borderId="19" applyAlignment="1" pivotButton="0" quotePrefix="0" xfId="0">
      <alignment horizontal="center" vertical="center"/>
    </xf>
    <xf numFmtId="0" fontId="24" fillId="9" borderId="19" pivotButton="0" quotePrefix="0" xfId="11"/>
    <xf numFmtId="166" fontId="32" fillId="0" borderId="19" applyAlignment="1" pivotButton="0" quotePrefix="0" xfId="0">
      <alignment vertical="center"/>
    </xf>
    <xf numFmtId="49" fontId="33" fillId="0" borderId="20" applyAlignment="1" pivotButton="0" quotePrefix="0" xfId="0">
      <alignment horizontal="center" vertical="center" wrapText="1"/>
    </xf>
    <xf numFmtId="0" fontId="18" fillId="5" borderId="4" applyAlignment="1" pivotButton="0" quotePrefix="0" xfId="0">
      <alignment vertical="center" shrinkToFit="1"/>
    </xf>
    <xf numFmtId="49" fontId="22" fillId="0" borderId="21" applyAlignment="1" pivotButton="0" quotePrefix="0" xfId="7">
      <alignment vertical="center"/>
    </xf>
    <xf numFmtId="49" fontId="17" fillId="0" borderId="4" applyAlignment="1" pivotButton="0" quotePrefix="0" xfId="0">
      <alignment horizontal="center" vertical="center"/>
    </xf>
    <xf numFmtId="166" fontId="17" fillId="6" borderId="4" applyAlignment="1" pivotButton="0" quotePrefix="0" xfId="0">
      <alignment horizontal="center" vertical="center"/>
    </xf>
    <xf numFmtId="0" fontId="27" fillId="0" borderId="0" pivotButton="0" quotePrefix="0" xfId="13"/>
    <xf numFmtId="49" fontId="11" fillId="7" borderId="9" pivotButton="0" quotePrefix="0" xfId="2"/>
    <xf numFmtId="0" fontId="11" fillId="0" borderId="14" applyAlignment="1" pivotButton="0" quotePrefix="0" xfId="2">
      <alignment vertical="center"/>
    </xf>
    <xf numFmtId="0" fontId="15" fillId="0" borderId="0" pivotButton="0" quotePrefix="0" xfId="4"/>
    <xf numFmtId="0" fontId="17" fillId="6" borderId="7" applyAlignment="1" pivotButton="0" quotePrefix="0" xfId="0">
      <alignment horizontal="center" vertical="center" shrinkToFit="1"/>
    </xf>
    <xf numFmtId="166" fontId="18" fillId="5" borderId="4" applyAlignment="1" pivotButton="0" quotePrefix="0" xfId="0">
      <alignment horizontal="center" vertical="center" shrinkToFit="1"/>
    </xf>
    <xf numFmtId="0" fontId="0" fillId="0" borderId="9" pivotButton="0" quotePrefix="0" xfId="0"/>
    <xf numFmtId="166" fontId="9" fillId="9" borderId="7" applyAlignment="1" pivotButton="0" quotePrefix="0" xfId="11">
      <alignment horizontal="center"/>
    </xf>
    <xf numFmtId="176" fontId="18" fillId="0" borderId="6" applyAlignment="1" pivotButton="0" quotePrefix="0" xfId="0">
      <alignment horizontal="center" vertical="center" shrinkToFit="1"/>
    </xf>
    <xf numFmtId="0" fontId="3" fillId="0" borderId="0" applyAlignment="1" pivotButton="0" quotePrefix="0" xfId="0">
      <alignment horizontal="left" vertical="center"/>
    </xf>
    <xf numFmtId="165" fontId="9" fillId="17" borderId="4" applyAlignment="1" pivotButton="0" quotePrefix="0" xfId="1">
      <alignment vertical="center" shrinkToFit="1"/>
    </xf>
    <xf numFmtId="165" fontId="0" fillId="17" borderId="5" applyAlignment="1" pivotButton="0" quotePrefix="0" xfId="1">
      <alignment vertical="center"/>
    </xf>
    <xf numFmtId="0" fontId="28" fillId="6" borderId="16" applyAlignment="1" pivotButton="0" quotePrefix="0" xfId="25">
      <alignment horizontal="left" vertical="center" shrinkToFit="1"/>
    </xf>
    <xf numFmtId="178" fontId="34" fillId="0" borderId="17" applyAlignment="1" pivotButton="0" quotePrefix="0" xfId="25">
      <alignment horizontal="left" vertical="center" shrinkToFit="1"/>
    </xf>
    <xf numFmtId="178" fontId="34" fillId="6" borderId="17" applyAlignment="1" pivotButton="0" quotePrefix="0" xfId="25">
      <alignment horizontal="left" vertical="center"/>
    </xf>
    <xf numFmtId="0" fontId="28" fillId="0" borderId="16" applyAlignment="1" pivotButton="0" quotePrefix="0" xfId="25">
      <alignment horizontal="left" vertical="center" shrinkToFit="1"/>
    </xf>
    <xf numFmtId="0" fontId="28" fillId="6" borderId="22" applyAlignment="1" pivotButton="0" quotePrefix="0" xfId="25">
      <alignment horizontal="left" vertical="center" shrinkToFit="1"/>
    </xf>
    <xf numFmtId="0" fontId="35" fillId="0" borderId="16" applyAlignment="1" pivotButton="0" quotePrefix="0" xfId="25">
      <alignment horizontal="left" vertical="center" shrinkToFit="1"/>
    </xf>
    <xf numFmtId="0" fontId="35" fillId="6" borderId="8" applyAlignment="1" pivotButton="0" quotePrefix="0" xfId="25">
      <alignment horizontal="left" vertical="center" shrinkToFit="1"/>
    </xf>
    <xf numFmtId="164" fontId="0" fillId="0" borderId="0" applyAlignment="1" pivotButton="0" quotePrefix="0" xfId="0">
      <alignment vertical="center" shrinkToFit="1"/>
    </xf>
    <xf numFmtId="165" fontId="0" fillId="0" borderId="0" applyAlignment="1" pivotButton="0" quotePrefix="0" xfId="1">
      <alignment vertical="center" shrinkToFit="1"/>
    </xf>
    <xf numFmtId="166" fontId="0" fillId="0" borderId="0" applyAlignment="1" pivotButton="0" quotePrefix="0" xfId="0">
      <alignment horizontal="center" vertical="center" shrinkToFit="1"/>
    </xf>
    <xf numFmtId="167" fontId="0" fillId="0" borderId="0" applyAlignment="1" pivotButton="0" quotePrefix="0" xfId="1">
      <alignment vertical="center" shrinkToFit="1"/>
    </xf>
    <xf numFmtId="168" fontId="0" fillId="0" borderId="0" applyAlignment="1" pivotButton="0" quotePrefix="0" xfId="0">
      <alignment horizontal="left" vertical="center"/>
    </xf>
    <xf numFmtId="169" fontId="0" fillId="0" borderId="0" applyAlignment="1" pivotButton="0" quotePrefix="0" xfId="0">
      <alignment horizontal="left" vertical="center" shrinkToFit="1"/>
    </xf>
    <xf numFmtId="168" fontId="0" fillId="0" borderId="0" applyAlignment="1" pivotButton="0" quotePrefix="0" xfId="0">
      <alignment horizontal="left" vertical="center" shrinkToFit="1"/>
    </xf>
    <xf numFmtId="168" fontId="0" fillId="0" borderId="1" applyAlignment="1" pivotButton="0" quotePrefix="0" xfId="0">
      <alignment horizontal="left" vertical="center" shrinkToFit="1"/>
    </xf>
    <xf numFmtId="169" fontId="0" fillId="0" borderId="1" applyAlignment="1" pivotButton="0" quotePrefix="0" xfId="0">
      <alignment horizontal="left" vertical="center" shrinkToFit="1"/>
    </xf>
    <xf numFmtId="164" fontId="0" fillId="0" borderId="1" applyAlignment="1" pivotButton="0" quotePrefix="0" xfId="0">
      <alignment vertical="center" shrinkToFit="1"/>
    </xf>
    <xf numFmtId="165" fontId="0" fillId="0" borderId="1" applyAlignment="1" pivotButton="0" quotePrefix="0" xfId="1">
      <alignment vertical="center" shrinkToFit="1"/>
    </xf>
    <xf numFmtId="170" fontId="0" fillId="0" borderId="1" applyAlignment="1" pivotButton="0" quotePrefix="0" xfId="1">
      <alignment vertical="center" shrinkToFit="1"/>
    </xf>
    <xf numFmtId="167" fontId="0" fillId="0" borderId="1" applyAlignment="1" pivotButton="0" quotePrefix="0" xfId="1">
      <alignment vertical="center" shrinkToFit="1"/>
    </xf>
    <xf numFmtId="166" fontId="0" fillId="0" borderId="1" applyAlignment="1" pivotButton="0" quotePrefix="0" xfId="0">
      <alignment horizontal="center" vertical="center" shrinkToFit="1"/>
    </xf>
    <xf numFmtId="171" fontId="0" fillId="0" borderId="1" applyAlignment="1" pivotButton="0" quotePrefix="0" xfId="1">
      <alignment vertical="center" shrinkToFit="1"/>
    </xf>
    <xf numFmtId="168" fontId="6" fillId="0" borderId="2" applyAlignment="1" pivotButton="0" quotePrefix="0" xfId="0">
      <alignment horizontal="left" vertical="center" shrinkToFit="1"/>
    </xf>
    <xf numFmtId="169" fontId="6" fillId="0" borderId="2" applyAlignment="1" pivotButton="0" quotePrefix="0" xfId="0">
      <alignment horizontal="left" vertical="center" shrinkToFit="1"/>
    </xf>
    <xf numFmtId="164" fontId="6" fillId="3" borderId="2" applyAlignment="1" pivotButton="0" quotePrefix="0" xfId="0">
      <alignment vertical="center" wrapText="1" shrinkToFit="1"/>
    </xf>
    <xf numFmtId="165" fontId="6" fillId="0" borderId="2" applyAlignment="1" pivotButton="0" quotePrefix="0" xfId="1">
      <alignment vertical="center" shrinkToFit="1"/>
    </xf>
    <xf numFmtId="165" fontId="6" fillId="4" borderId="2" applyAlignment="1" pivotButton="0" quotePrefix="0" xfId="1">
      <alignment vertical="center" shrinkToFit="1"/>
    </xf>
    <xf numFmtId="166" fontId="6" fillId="3" borderId="2" applyAlignment="1" pivotButton="0" quotePrefix="0" xfId="0">
      <alignment horizontal="center" vertical="center" shrinkToFit="1"/>
    </xf>
    <xf numFmtId="165" fontId="6" fillId="0" borderId="2" applyAlignment="1" pivotButton="0" quotePrefix="0" xfId="1">
      <alignment vertical="center" wrapText="1" shrinkToFit="1"/>
    </xf>
    <xf numFmtId="165" fontId="5" fillId="2" borderId="2" applyAlignment="1" pivotButton="0" quotePrefix="0" xfId="1">
      <alignment vertical="center" wrapText="1" shrinkToFit="1"/>
    </xf>
    <xf numFmtId="167" fontId="5" fillId="2" borderId="2" applyAlignment="1" pivotButton="0" quotePrefix="0" xfId="1">
      <alignment vertical="center" wrapText="1" shrinkToFit="1"/>
    </xf>
  </cellXfs>
  <cellStyles count="26">
    <cellStyle name="표준" xfId="0" builtinId="0"/>
    <cellStyle name="쉼표 [0]" xfId="1" builtinId="6"/>
    <cellStyle name="표준 5" xfId="2"/>
    <cellStyle name="표준 6" xfId="3"/>
    <cellStyle name="표준 10" xfId="4"/>
    <cellStyle name="표준 6 4" xfId="5"/>
    <cellStyle name="쉼표 [0] 2" xfId="6"/>
    <cellStyle name="표준 3" xfId="7"/>
    <cellStyle name="표준 4" xfId="8"/>
    <cellStyle name="쉼표 [0] 3" xfId="9"/>
    <cellStyle name="쉼표 [0] 4" xfId="10"/>
    <cellStyle name="표준 2" xfId="11"/>
    <cellStyle name="쉼표 [0] 5" xfId="12"/>
    <cellStyle name="표준 6 2" xfId="13"/>
    <cellStyle name="표준 7" xfId="14"/>
    <cellStyle name="쉼표 [0] 6" xfId="15"/>
    <cellStyle name="표준 2 2" xfId="16"/>
    <cellStyle name="백분율 2" xfId="17"/>
    <cellStyle name="쉼표 [0] 2 3" xfId="18"/>
    <cellStyle name="쉼표 [0] 2 2" xfId="19"/>
    <cellStyle name="표준 3 2" xfId="20"/>
    <cellStyle name="하이퍼링크 2" xfId="21"/>
    <cellStyle name="쉼표 [0] 7" xfId="22"/>
    <cellStyle name="쉼표 [0] 2 4" xfId="23"/>
    <cellStyle name="쉼표 [0] 2 2 2" xfId="24"/>
    <cellStyle name="표준 2 2 2" xfId="25"/>
  </cellStyles>
  <dxfs count="6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7"/>
  <sheetViews>
    <sheetView zoomScale="85" zoomScaleNormal="85" workbookViewId="0">
      <pane ySplit="7" topLeftCell="A1641" activePane="bottomLeft" state="frozen"/>
      <selection pane="bottomLeft" activeCell="I1686" sqref="I1686"/>
    </sheetView>
  </sheetViews>
  <sheetFormatPr baseColWidth="8" defaultRowHeight="14"/>
  <cols>
    <col width="5" customWidth="1" style="93" min="1" max="1"/>
    <col width="0.765625" customWidth="1" style="93" min="2" max="2"/>
    <col width="4.07421875" customWidth="1" style="93" min="3" max="6"/>
    <col width="7.07421875" customWidth="1" style="93" min="8" max="11"/>
    <col width="12" customWidth="1" style="93" min="12" max="12"/>
    <col width="12.765625" bestFit="1" customWidth="1" style="93" min="14" max="14"/>
    <col width="19.23046875" customWidth="1" style="93" min="15" max="15"/>
    <col width="3.69140625" customWidth="1" style="93" min="16" max="16"/>
    <col width="21.84375" customWidth="1" style="93" min="17" max="18"/>
    <col width="23.23046875" customWidth="1" style="93" min="19" max="19"/>
    <col width="4.3046875" customWidth="1" style="93" min="20" max="21"/>
    <col width="9.23046875" bestFit="1" customWidth="1" style="93" min="22" max="22"/>
    <col width="6.765625" customWidth="1" style="93" min="25" max="27"/>
    <col width="4" customWidth="1" style="93" min="28" max="28"/>
    <col width="3.53515625" customWidth="1" style="93" min="29" max="29"/>
    <col hidden="1" width="4.4609375" customWidth="1" style="93" min="30" max="30"/>
    <col width="6.69140625" customWidth="1" style="93" min="31" max="31"/>
    <col width="11.69140625" customWidth="1" style="93" min="32" max="32"/>
    <col width="32.23046875" customWidth="1" style="93" min="33" max="33"/>
    <col width="3.69140625" customWidth="1" style="93" min="34" max="42"/>
  </cols>
  <sheetData>
    <row r="1" ht="25" customHeight="1" s="93">
      <c r="A1" s="232" t="inlineStr">
        <is>
          <t>■ 2026년 택배배송 주문서 정리본</t>
        </is>
      </c>
      <c r="K1" s="1" t="n"/>
      <c r="L1" s="1" t="n"/>
      <c r="M1" s="1" t="n"/>
      <c r="N1" s="242" t="n"/>
      <c r="O1" s="3" t="n"/>
      <c r="P1" s="3" t="n"/>
      <c r="Q1" s="3" t="n"/>
      <c r="R1" s="3" t="n"/>
      <c r="S1" s="3" t="n"/>
      <c r="T1" s="1" t="n"/>
      <c r="U1" s="1" t="n"/>
      <c r="V1" s="243" t="n"/>
      <c r="W1" s="243">
        <f>V1*0.85</f>
        <v/>
      </c>
      <c r="X1" s="243" t="n"/>
      <c r="Y1" s="243">
        <f>U1*X1</f>
        <v/>
      </c>
      <c r="Z1" s="243">
        <f>W1-Y1</f>
        <v/>
      </c>
      <c r="AA1" s="3">
        <f>IFERROR(Z1/Y1*100,"")</f>
        <v/>
      </c>
      <c r="AB1" s="3" t="n"/>
      <c r="AC1" s="3" t="n"/>
      <c r="AD1" s="3" t="n"/>
      <c r="AE1" s="3" t="n"/>
      <c r="AF1" s="1" t="n"/>
      <c r="AG1" s="244" t="n"/>
      <c r="AH1" s="3" t="n"/>
      <c r="AI1" s="1" t="n"/>
      <c r="AJ1" s="3" t="n"/>
      <c r="AK1" s="3" t="inlineStr">
        <is>
          <t>회수시</t>
        </is>
      </c>
      <c r="AL1" s="243">
        <f>(AH1*AK1)+(AI1*3000)+(AJ1*5000)</f>
        <v/>
      </c>
      <c r="AM1" s="243" t="n"/>
      <c r="AN1" s="243">
        <f>(#REF!-(Y1+AL1))</f>
        <v/>
      </c>
      <c r="AO1" s="245">
        <f>IFERROR(AN1/Y1*100,0)</f>
        <v/>
      </c>
      <c r="AP1" s="3" t="n"/>
    </row>
    <row r="2">
      <c r="A2" s="1" t="n"/>
      <c r="B2" s="3" t="n"/>
      <c r="C2" s="246" t="inlineStr">
        <is>
          <t>동일고객 동일주소 2개 이상 배송시 택배비 차감</t>
        </is>
      </c>
      <c r="D2" s="247" t="n"/>
      <c r="E2" s="248" t="n"/>
      <c r="F2" s="247" t="n"/>
      <c r="G2" s="3" t="n"/>
      <c r="H2" s="3" t="n"/>
      <c r="I2" s="1" t="n"/>
      <c r="J2" s="3" t="n"/>
      <c r="K2" s="1" t="n"/>
      <c r="L2" s="1" t="n"/>
      <c r="M2" s="1" t="n"/>
      <c r="N2" s="242" t="n"/>
      <c r="O2" s="3" t="n"/>
      <c r="P2" s="3" t="n"/>
      <c r="Q2" s="3" t="n"/>
      <c r="R2" s="3" t="n"/>
      <c r="S2" s="3" t="n"/>
      <c r="T2" s="1" t="n"/>
      <c r="U2" s="1" t="n"/>
      <c r="V2" s="243" t="n"/>
      <c r="W2" s="243">
        <f>V2*0.94</f>
        <v/>
      </c>
      <c r="X2" s="243" t="n"/>
      <c r="Y2" s="243" t="n"/>
      <c r="Z2" s="243" t="n"/>
      <c r="AA2" s="3" t="n"/>
      <c r="AB2" s="3" t="n"/>
      <c r="AC2" s="3" t="n"/>
      <c r="AD2" s="3" t="n"/>
      <c r="AE2" s="3" t="n"/>
      <c r="AF2" s="1" t="n"/>
      <c r="AG2" s="244" t="n"/>
      <c r="AH2" s="3" t="n"/>
      <c r="AI2" s="1" t="n"/>
      <c r="AJ2" s="3" t="n"/>
      <c r="AK2" s="3" t="n"/>
      <c r="AL2" s="243" t="inlineStr">
        <is>
          <t>나눔</t>
        </is>
      </c>
      <c r="AM2" s="243" t="n"/>
      <c r="AN2" s="243">
        <f>Z2-(AK2/2)</f>
        <v/>
      </c>
      <c r="AO2" s="245">
        <f>IFERROR(AN2/Y2*100,0)</f>
        <v/>
      </c>
      <c r="AP2" s="3" t="n"/>
    </row>
    <row r="3">
      <c r="A3" s="1" t="n"/>
      <c r="B3" s="3" t="n"/>
      <c r="C3" s="0" t="inlineStr">
        <is>
          <t>부가세 포함 기준으로 작성</t>
        </is>
      </c>
      <c r="D3" s="247" t="n"/>
      <c r="E3" s="248" t="n"/>
      <c r="F3" s="247" t="n"/>
      <c r="G3" s="3" t="n"/>
      <c r="H3" s="3" t="n"/>
      <c r="I3" s="1" t="n"/>
      <c r="J3" s="3" t="n"/>
      <c r="K3" s="1" t="n"/>
      <c r="L3" s="1" t="n"/>
      <c r="M3" s="1" t="n"/>
      <c r="N3" s="242" t="n"/>
      <c r="O3" s="3" t="n"/>
      <c r="P3" s="3" t="n"/>
      <c r="Q3" s="3" t="n"/>
      <c r="R3" s="3" t="n"/>
      <c r="S3" s="3" t="n"/>
      <c r="T3" s="1" t="n"/>
      <c r="U3" s="1" t="n"/>
      <c r="V3" s="243" t="n"/>
      <c r="W3" s="243" t="n"/>
      <c r="X3" s="243" t="n"/>
      <c r="Y3" s="243" t="n"/>
      <c r="Z3" s="243" t="n"/>
      <c r="AA3" s="3" t="n"/>
      <c r="AB3" s="3" t="n"/>
      <c r="AC3" s="3" t="n"/>
      <c r="AD3" s="3" t="n"/>
      <c r="AE3" s="3" t="n"/>
      <c r="AF3" s="1" t="n"/>
      <c r="AG3" s="244" t="n"/>
      <c r="AH3" s="3" t="n"/>
      <c r="AI3" s="1" t="n"/>
      <c r="AJ3" s="3" t="n"/>
      <c r="AK3" s="3" t="n"/>
      <c r="AL3" s="243" t="inlineStr">
        <is>
          <t>나눔×</t>
        </is>
      </c>
      <c r="AM3" s="243" t="n"/>
      <c r="AN3" s="243">
        <f>IFERROR(Z3-(AL3),0)</f>
        <v/>
      </c>
      <c r="AO3" s="245">
        <f>IFERROR(AN3/Y3*100,0)</f>
        <v/>
      </c>
      <c r="AP3" s="3" t="n"/>
    </row>
    <row r="4">
      <c r="A4" s="1" t="n"/>
      <c r="C4" s="248" t="n"/>
      <c r="D4" s="247" t="n"/>
      <c r="E4" s="248" t="n"/>
      <c r="F4" s="247" t="n"/>
      <c r="G4" s="3" t="n"/>
      <c r="H4" s="3" t="n"/>
      <c r="I4" s="1" t="n"/>
      <c r="J4" s="3" t="n"/>
      <c r="K4" s="1" t="n"/>
      <c r="L4" s="1" t="n"/>
      <c r="M4" s="1" t="n"/>
      <c r="N4" s="242" t="n"/>
      <c r="O4" s="3" t="n"/>
      <c r="P4" s="3" t="n"/>
      <c r="Q4" s="3" t="n"/>
      <c r="R4" s="3" t="n"/>
      <c r="S4" s="3" t="n"/>
      <c r="T4" s="1" t="n"/>
      <c r="U4" s="1" t="n"/>
      <c r="V4" s="243" t="n"/>
      <c r="W4" s="243" t="n"/>
      <c r="X4" s="243" t="n"/>
      <c r="Y4" s="243" t="n"/>
      <c r="Z4" s="243" t="n"/>
      <c r="AA4" s="3" t="n"/>
      <c r="AB4" s="3" t="n"/>
      <c r="AC4" s="3" t="n"/>
      <c r="AD4" s="3" t="n"/>
      <c r="AE4" s="3" t="n"/>
      <c r="AF4" s="1" t="n"/>
      <c r="AG4" s="244" t="n"/>
      <c r="AH4" s="3" t="n"/>
      <c r="AI4" s="1" t="n"/>
      <c r="AJ4" s="3" t="n"/>
      <c r="AK4" s="3" t="n"/>
      <c r="AL4" s="243" t="inlineStr">
        <is>
          <t>보담 外</t>
        </is>
      </c>
      <c r="AM4" s="243" t="n"/>
      <c r="AN4" s="243">
        <f>Z4-(AK4)</f>
        <v/>
      </c>
      <c r="AO4" s="245" t="n"/>
      <c r="AP4" s="3" t="n"/>
    </row>
    <row r="5">
      <c r="A5" s="1" t="n"/>
      <c r="C5" s="10" t="inlineStr">
        <is>
          <t>↓ 접수</t>
        </is>
      </c>
      <c r="D5" s="247" t="n"/>
      <c r="E5" s="10" t="inlineStr">
        <is>
          <t>↓ 접수</t>
        </is>
      </c>
      <c r="F5" s="247" t="n"/>
      <c r="G5" s="3" t="n"/>
      <c r="H5" s="3" t="n"/>
      <c r="I5" s="1" t="n"/>
      <c r="J5" s="3" t="n"/>
      <c r="K5" s="1" t="n"/>
      <c r="L5" s="1" t="n"/>
      <c r="M5" s="1" t="n"/>
      <c r="N5" s="242" t="n"/>
      <c r="O5" s="3" t="n"/>
      <c r="P5" s="3" t="n"/>
      <c r="Q5" s="3" t="n"/>
      <c r="R5" s="3" t="n"/>
      <c r="S5" s="3" t="n"/>
      <c r="T5" s="1" t="n"/>
      <c r="U5" s="1" t="n"/>
      <c r="V5" s="243" t="n"/>
      <c r="W5" s="10" t="inlineStr">
        <is>
          <t>↓ 수수료율 체크</t>
        </is>
      </c>
      <c r="X5" s="11" t="n"/>
      <c r="Y5" s="243" t="n"/>
      <c r="Z5" s="243" t="n"/>
      <c r="AA5" s="3" t="n"/>
      <c r="AB5" s="3" t="n"/>
      <c r="AC5" s="3" t="n"/>
      <c r="AD5" s="3" t="n"/>
      <c r="AE5" s="3" t="n"/>
      <c r="AF5" s="1" t="n"/>
      <c r="AG5" s="244" t="n"/>
      <c r="AH5" s="10" t="inlineStr">
        <is>
          <t>↓ 택배건수 입력</t>
        </is>
      </c>
      <c r="AI5" s="12" t="n"/>
      <c r="AJ5" s="3" t="n"/>
      <c r="AK5" s="3" t="n"/>
      <c r="AL5" s="243" t="inlineStr">
        <is>
          <t>최종이익 서식</t>
        </is>
      </c>
      <c r="AM5" s="243" t="n"/>
      <c r="AN5" s="243">
        <f>IFERROR(Z5-(AL5)+AM5,0)</f>
        <v/>
      </c>
      <c r="AO5" s="245" t="n"/>
      <c r="AP5" s="3" t="n"/>
    </row>
    <row r="6" ht="14.5" customHeight="1" s="93" thickBot="1">
      <c r="A6" s="13" t="n"/>
      <c r="B6" s="14" t="n"/>
      <c r="C6" s="249" t="n"/>
      <c r="D6" s="250" t="n"/>
      <c r="E6" s="249" t="n"/>
      <c r="F6" s="250" t="n"/>
      <c r="G6" s="14" t="n"/>
      <c r="H6" s="14" t="n"/>
      <c r="I6" s="13" t="n"/>
      <c r="J6" s="14" t="n"/>
      <c r="K6" s="13" t="n"/>
      <c r="L6" s="13" t="n"/>
      <c r="M6" s="13" t="n"/>
      <c r="N6" s="251" t="n"/>
      <c r="O6" s="14" t="n"/>
      <c r="P6" s="14" t="n"/>
      <c r="Q6" s="14" t="n"/>
      <c r="R6" s="14" t="n"/>
      <c r="S6" s="14" t="n"/>
      <c r="T6" s="13" t="n"/>
      <c r="U6" s="13" t="n"/>
      <c r="V6" s="252">
        <f>SUM(V8:V1048576)</f>
        <v/>
      </c>
      <c r="W6" s="252">
        <f>SUM(W8:W1048576)</f>
        <v/>
      </c>
      <c r="X6" s="252" t="inlineStr">
        <is>
          <t>포함가</t>
        </is>
      </c>
      <c r="Y6" s="252">
        <f>SUM(Y8:Y1048576)</f>
        <v/>
      </c>
      <c r="Z6" s="253">
        <f>SUM(Z8:Z1048576)/31*31/1000000</f>
        <v/>
      </c>
      <c r="AA6" s="254">
        <f>IFERROR((W6-Y6)/W6*100,0)</f>
        <v/>
      </c>
      <c r="AB6" s="14" t="n"/>
      <c r="AC6" s="14" t="n"/>
      <c r="AD6" s="14" t="n"/>
      <c r="AE6" s="14" t="n"/>
      <c r="AF6" s="13" t="n"/>
      <c r="AG6" s="255" t="n"/>
      <c r="AH6" s="14" t="n"/>
      <c r="AI6" s="13" t="n"/>
      <c r="AJ6" s="14" t="n"/>
      <c r="AK6" s="14" t="n"/>
      <c r="AL6" s="252" t="n"/>
      <c r="AM6" s="252" t="n"/>
      <c r="AN6" s="256">
        <f t="array" ref="AN6">SUM(#REF!/1000000)/10*31</f>
        <v/>
      </c>
      <c r="AO6" s="254">
        <f>IFERROR((W6-Y6-AL6+AM6)/W6*100,0)</f>
        <v/>
      </c>
      <c r="AP6" s="14" t="n"/>
    </row>
    <row r="7" ht="39.75" customHeight="1" s="93" thickBot="1">
      <c r="A7" s="23" t="inlineStr">
        <is>
          <t>NO</t>
        </is>
      </c>
      <c r="B7" s="24" t="inlineStr">
        <is>
          <t>년</t>
        </is>
      </c>
      <c r="C7" s="257" t="inlineStr">
        <is>
          <t>접수월</t>
        </is>
      </c>
      <c r="D7" s="258" t="inlineStr">
        <is>
          <t>접수일</t>
        </is>
      </c>
      <c r="E7" s="257" t="inlineStr">
        <is>
          <t>출고월</t>
        </is>
      </c>
      <c r="F7" s="258" t="inlineStr">
        <is>
          <t>출고일</t>
        </is>
      </c>
      <c r="G7" s="27" t="inlineStr">
        <is>
          <t>판매
채널</t>
        </is>
      </c>
      <c r="H7" s="27" t="inlineStr">
        <is>
          <t>매출
채널</t>
        </is>
      </c>
      <c r="I7" s="28" t="inlineStr">
        <is>
          <t>지급
매입처</t>
        </is>
      </c>
      <c r="J7" s="27" t="inlineStr">
        <is>
          <t>회수
주문처</t>
        </is>
      </c>
      <c r="K7" s="23" t="inlineStr">
        <is>
          <t>배송처</t>
        </is>
      </c>
      <c r="L7" s="23" t="inlineStr">
        <is>
          <t>주문번호</t>
        </is>
      </c>
      <c r="M7" s="29" t="inlineStr">
        <is>
          <t>수취인</t>
        </is>
      </c>
      <c r="N7" s="259" t="inlineStr">
        <is>
          <t>수취인
핸드폰</t>
        </is>
      </c>
      <c r="O7" s="31" t="inlineStr">
        <is>
          <t>수취인
주소</t>
        </is>
      </c>
      <c r="P7" s="32" t="inlineStr">
        <is>
          <t>우편번호</t>
        </is>
      </c>
      <c r="Q7" s="33" t="inlineStr">
        <is>
          <t>상품명</t>
        </is>
      </c>
      <c r="R7" s="24" t="inlineStr">
        <is>
          <t>옵션구성</t>
        </is>
      </c>
      <c r="S7" s="34" t="inlineStr">
        <is>
          <t>관리 상품명</t>
        </is>
      </c>
      <c r="T7" s="23" t="inlineStr">
        <is>
          <t>건수</t>
        </is>
      </c>
      <c r="U7" s="29" t="inlineStr">
        <is>
          <t>수량</t>
        </is>
      </c>
      <c r="V7" s="260" t="inlineStr">
        <is>
          <t>매출액</t>
        </is>
      </c>
      <c r="W7" s="260" t="inlineStr">
        <is>
          <t>정산액</t>
        </is>
      </c>
      <c r="X7" s="261" t="inlineStr">
        <is>
          <t>매입단가</t>
        </is>
      </c>
      <c r="Y7" s="260" t="inlineStr">
        <is>
          <t>매입액</t>
        </is>
      </c>
      <c r="Z7" s="260" t="inlineStr">
        <is>
          <t>이익액</t>
        </is>
      </c>
      <c r="AA7" s="24" t="inlineStr">
        <is>
          <t>율</t>
        </is>
      </c>
      <c r="AB7" s="24" t="inlineStr">
        <is>
          <t>보내는분성명</t>
        </is>
      </c>
      <c r="AC7" s="24" t="inlineStr">
        <is>
          <t>보내는분전화번호</t>
        </is>
      </c>
      <c r="AD7" s="24" t="inlineStr">
        <is>
          <t>보내는분주소</t>
        </is>
      </c>
      <c r="AE7" s="29" t="inlineStr">
        <is>
          <t>배송메세지</t>
        </is>
      </c>
      <c r="AF7" s="29" t="inlineStr">
        <is>
          <t>택배사</t>
        </is>
      </c>
      <c r="AG7" s="262" t="inlineStr">
        <is>
          <t>송장번호</t>
        </is>
      </c>
      <c r="AH7" s="24" t="inlineStr">
        <is>
          <t>내륙</t>
        </is>
      </c>
      <c r="AI7" s="23" t="inlineStr">
        <is>
          <t>제주</t>
        </is>
      </c>
      <c r="AJ7" s="27" t="inlineStr">
        <is>
          <t>도서
산간</t>
        </is>
      </c>
      <c r="AK7" s="27" t="inlineStr">
        <is>
          <t>택배
단가</t>
        </is>
      </c>
      <c r="AL7" s="263" t="inlineStr">
        <is>
          <t>택배비
計</t>
        </is>
      </c>
      <c r="AM7" s="263" t="inlineStr">
        <is>
          <t>택배비
(고객)</t>
        </is>
      </c>
      <c r="AN7" s="264" t="inlineStr">
        <is>
          <t>최총
이익</t>
        </is>
      </c>
      <c r="AO7" s="265" t="inlineStr">
        <is>
          <t>최종
이익율</t>
        </is>
      </c>
      <c r="AP7" s="24" t="inlineStr">
        <is>
          <t>비고</t>
        </is>
      </c>
    </row>
    <row r="8" ht="17.5" customHeight="1" s="93" thickTop="1"/>
    <row r="9" ht="17" customHeight="1" s="93"/>
    <row r="10" ht="17" customHeight="1" s="93"/>
    <row r="11" ht="17" customHeight="1" s="93"/>
    <row r="12" ht="17" customHeight="1" s="93"/>
    <row r="13" ht="17" customHeight="1" s="93"/>
    <row r="14" ht="17" customHeight="1" s="93"/>
    <row r="15" ht="17" customHeight="1" s="93"/>
    <row r="16" ht="17" customHeight="1" s="93"/>
    <row r="17" ht="17" customHeight="1" s="93"/>
    <row r="18" ht="17" customHeight="1" s="93"/>
    <row r="19" ht="17" customHeight="1" s="93"/>
    <row r="20" ht="17" customHeight="1" s="93"/>
    <row r="21" ht="17" customHeight="1" s="93"/>
    <row r="22" ht="17" customHeight="1" s="93"/>
    <row r="23" ht="17" customHeight="1" s="93"/>
    <row r="24" ht="17" customHeight="1" s="93"/>
    <row r="25" ht="17" customHeight="1" s="93"/>
    <row r="26" ht="17" customHeight="1" s="93"/>
    <row r="27" ht="17" customHeight="1" s="93"/>
    <row r="28" ht="17" customHeight="1" s="93"/>
    <row r="29" ht="17" customHeight="1" s="93"/>
    <row r="30" ht="17" customHeight="1" s="93"/>
    <row r="31" ht="17" customHeight="1" s="93"/>
    <row r="32" ht="17" customHeight="1" s="93"/>
    <row r="33" ht="17" customHeight="1" s="93"/>
    <row r="34" ht="17" customHeight="1" s="93"/>
    <row r="35" ht="17" customHeight="1" s="93"/>
    <row r="36" ht="17" customHeight="1" s="93"/>
    <row r="37" ht="17" customHeight="1" s="93"/>
    <row r="38" ht="17" customHeight="1" s="93"/>
    <row r="39" ht="17" customHeight="1" s="93"/>
    <row r="40" ht="17" customHeight="1" s="93"/>
    <row r="41" ht="17" customHeight="1" s="93"/>
    <row r="42" ht="17" customHeight="1" s="93"/>
    <row r="43" ht="17" customHeight="1" s="93"/>
    <row r="44" ht="17" customHeight="1" s="93"/>
    <row r="45" ht="17" customHeight="1" s="93"/>
    <row r="46" ht="17" customHeight="1" s="93"/>
    <row r="47" ht="17" customHeight="1" s="93"/>
    <row r="48" ht="17" customHeight="1" s="93"/>
    <row r="49" ht="17" customHeight="1" s="93"/>
    <row r="50" ht="17" customHeight="1" s="93"/>
    <row r="51" ht="17" customHeight="1" s="93"/>
    <row r="52" ht="17" customHeight="1" s="93"/>
    <row r="53" ht="17" customHeight="1" s="93"/>
    <row r="54" ht="17" customHeight="1" s="93"/>
    <row r="55" ht="17" customHeight="1" s="93"/>
    <row r="95" customFormat="1" s="50"/>
    <row r="96" customFormat="1" s="50"/>
    <row r="190" customFormat="1" s="50"/>
    <row r="191" ht="17" customHeight="1" s="93"/>
    <row r="192" ht="17" customHeight="1" s="93"/>
    <row r="193" ht="17" customHeight="1" s="93"/>
    <row r="194" ht="17" customHeight="1" s="93"/>
    <row r="195" ht="17" customHeight="1" s="93"/>
    <row r="196" ht="17" customHeight="1" s="93"/>
    <row r="197" ht="17" customHeight="1" s="93"/>
    <row r="198" ht="17" customHeight="1" s="93"/>
    <row r="199" ht="17" customHeight="1" s="93"/>
    <row r="200" ht="17" customHeight="1" s="93"/>
    <row r="201" ht="17" customHeight="1" s="93"/>
    <row r="202" ht="17" customHeight="1" s="93"/>
    <row r="203" ht="17" customHeight="1" s="93"/>
    <row r="204" ht="17" customHeight="1" s="93"/>
    <row r="205" ht="17" customFormat="1" customHeight="1" s="50"/>
    <row r="206" ht="17" customHeight="1" s="93"/>
    <row r="207" ht="17" customHeight="1" s="93"/>
    <row r="208" ht="17" customHeight="1" s="93"/>
    <row r="209" ht="17" customHeight="1" s="93"/>
    <row r="210" ht="17" customHeight="1" s="93"/>
    <row r="211" ht="17" customHeight="1" s="93"/>
    <row r="212" ht="17" customHeight="1" s="93"/>
    <row r="213" ht="17" customHeight="1" s="93"/>
    <row r="214" ht="17" customHeight="1" s="93"/>
    <row r="215" ht="17" customHeight="1" s="93"/>
    <row r="216" ht="17" customHeight="1" s="93"/>
    <row r="217" ht="17" customHeight="1" s="93"/>
    <row r="218" ht="17" customHeight="1" s="93"/>
    <row r="219" ht="17" customHeight="1" s="93"/>
    <row r="220" ht="17" customHeight="1" s="93"/>
    <row r="221" ht="17" customHeight="1" s="93"/>
    <row r="222" ht="17" customHeight="1" s="93"/>
    <row r="223" ht="17" customHeight="1" s="93"/>
    <row r="224" ht="17" customHeight="1" s="93"/>
    <row r="225" ht="17" customHeight="1" s="93"/>
    <row r="226" ht="17" customHeight="1" s="93"/>
    <row r="227" ht="17" customHeight="1" s="93"/>
    <row r="228" ht="17" customHeight="1" s="93"/>
    <row r="229" ht="17" customHeight="1" s="93"/>
    <row r="230" ht="17" customHeight="1" s="93"/>
    <row r="231" ht="17" customHeight="1" s="93"/>
    <row r="232" ht="17" customHeight="1" s="93"/>
    <row r="233" ht="17" customHeight="1" s="93"/>
    <row r="234" ht="17" customHeight="1" s="93"/>
    <row r="235" ht="17" customHeight="1" s="93"/>
    <row r="236" ht="17" customHeight="1" s="93"/>
    <row r="237" ht="17" customHeight="1" s="93"/>
    <row r="238" ht="17" customHeight="1" s="93"/>
    <row r="239" ht="17" customHeight="1" s="93"/>
    <row r="240" ht="17" customHeight="1" s="93"/>
    <row r="241" ht="17" customFormat="1" customHeight="1" s="50"/>
    <row r="242" ht="17" customFormat="1" customHeight="1" s="50"/>
    <row r="243" ht="17" customHeight="1" s="93"/>
    <row r="244" ht="17" customHeight="1" s="93"/>
    <row r="245" ht="17" customHeight="1" s="93"/>
    <row r="246" ht="17" customHeight="1" s="93"/>
    <row r="247" ht="17" customHeight="1" s="93"/>
    <row r="248" ht="17" customHeight="1" s="93"/>
    <row r="249" ht="17" customHeight="1" s="93"/>
    <row r="250" ht="17" customHeight="1" s="93"/>
    <row r="251" ht="17" customHeight="1" s="93"/>
    <row r="252" ht="17" customHeight="1" s="93"/>
    <row r="253" ht="17" customHeight="1" s="93"/>
    <row r="254" ht="17" customHeight="1" s="93"/>
    <row r="255" ht="17" customHeight="1" s="93"/>
    <row r="256" ht="17" customHeight="1" s="93"/>
    <row r="257" ht="17" customHeight="1" s="93"/>
    <row r="258" ht="17" customHeight="1" s="93"/>
    <row r="259" ht="17" customHeight="1" s="93"/>
    <row r="260" ht="17" customHeight="1" s="93"/>
    <row r="261" ht="17" customHeight="1" s="93"/>
    <row r="262" ht="17" customHeight="1" s="93"/>
    <row r="263" ht="17" customHeight="1" s="93"/>
    <row r="264" ht="17" customHeight="1" s="93"/>
    <row r="265" ht="17" customHeight="1" s="93"/>
    <row r="266" ht="17" customHeight="1" s="93"/>
    <row r="267" ht="17" customHeight="1" s="93"/>
    <row r="268" ht="17" customHeight="1" s="93"/>
    <row r="269" ht="17" customHeight="1" s="93"/>
    <row r="270" ht="17" customHeight="1" s="93"/>
    <row r="271" ht="17" customHeight="1" s="93"/>
    <row r="272" ht="17" customHeight="1" s="93"/>
    <row r="273" ht="17" customHeight="1" s="93"/>
    <row r="274" ht="17" customHeight="1" s="93"/>
    <row r="275" ht="17" customHeight="1" s="93"/>
    <row r="276" ht="17" customHeight="1" s="93"/>
    <row r="277" ht="17" customHeight="1" s="93"/>
    <row r="278" ht="17" customHeight="1" s="93"/>
    <row r="279" ht="17" customHeight="1" s="93"/>
    <row r="280" ht="17" customHeight="1" s="93"/>
    <row r="281" ht="17" customHeight="1" s="93"/>
    <row r="282" ht="17" customHeight="1" s="93"/>
    <row r="283" ht="17" customHeight="1" s="93"/>
    <row r="284" ht="17" customHeight="1" s="93"/>
    <row r="285" ht="17" customHeight="1" s="93"/>
    <row r="286" ht="17" customHeight="1" s="93"/>
    <row r="287" ht="17" customHeight="1" s="93"/>
    <row r="288" ht="17" customHeight="1" s="93"/>
    <row r="289" ht="17" customHeight="1" s="93"/>
    <row r="290" ht="17" customHeight="1" s="93"/>
    <row r="291" ht="17" customHeight="1" s="93"/>
    <row r="292" ht="17" customHeight="1" s="93"/>
    <row r="293" ht="17" customHeight="1" s="93"/>
    <row r="294" ht="17" customHeight="1" s="93"/>
    <row r="295" ht="17" customHeight="1" s="93"/>
    <row r="296" ht="17" customHeight="1" s="93"/>
    <row r="297" ht="17" customHeight="1" s="93"/>
    <row r="298" ht="17" customHeight="1" s="93"/>
    <row r="299" ht="17" customHeight="1" s="93"/>
    <row r="300" ht="17" customHeight="1" s="93"/>
    <row r="301" ht="17" customHeight="1" s="93"/>
    <row r="302" ht="17" customHeight="1" s="93"/>
    <row r="303" ht="17" customHeight="1" s="93"/>
    <row r="304" ht="17" customHeight="1" s="93"/>
    <row r="305" ht="17" customHeight="1" s="93"/>
    <row r="306" ht="17" customHeight="1" s="93"/>
    <row r="307" ht="17" customHeight="1" s="93"/>
    <row r="308" ht="17" customHeight="1" s="93"/>
    <row r="309" ht="17" customHeight="1" s="93"/>
    <row r="310" ht="17" customHeight="1" s="93"/>
    <row r="311" ht="17" customHeight="1" s="93"/>
    <row r="312" ht="17" customHeight="1" s="93"/>
    <row r="313" ht="17" customHeight="1" s="93"/>
    <row r="314" ht="17" customHeight="1" s="93"/>
    <row r="315" ht="17" customHeight="1" s="93"/>
    <row r="316" ht="17" customHeight="1" s="93"/>
    <row r="317" ht="17" customHeight="1" s="93"/>
    <row r="318" ht="17" customHeight="1" s="93"/>
    <row r="319" ht="17" customHeight="1" s="93"/>
    <row r="320" ht="17" customHeight="1" s="93"/>
    <row r="321" ht="17" customHeight="1" s="93"/>
    <row r="322" ht="17" customHeight="1" s="93"/>
    <row r="323" ht="17" customHeight="1" s="93"/>
    <row r="324" ht="17" customHeight="1" s="93"/>
    <row r="325" ht="17" customHeight="1" s="93"/>
    <row r="326" ht="17" customHeight="1" s="93"/>
    <row r="327" ht="17" customHeight="1" s="93"/>
    <row r="328" ht="17" customHeight="1" s="93"/>
    <row r="329" ht="17" customHeight="1" s="93"/>
    <row r="330" ht="17" customHeight="1" s="93"/>
    <row r="337" ht="17" customHeight="1" s="93"/>
    <row r="338" ht="17" customHeight="1" s="93"/>
    <row r="339" ht="17" customHeight="1" s="93"/>
    <row r="340" ht="17" customHeight="1" s="93"/>
    <row r="341" ht="17" customHeight="1" s="93"/>
    <row r="342" ht="17" customHeight="1" s="93"/>
    <row r="343" ht="17" customHeight="1" s="93"/>
    <row r="344" ht="17" customHeight="1" s="93"/>
    <row r="345" ht="17" customHeight="1" s="93"/>
    <row r="346" ht="17" customHeight="1" s="93"/>
    <row r="347" ht="17" customHeight="1" s="93"/>
    <row r="348" ht="17" customHeight="1" s="93"/>
    <row r="349" ht="17" customHeight="1" s="93"/>
    <row r="350" ht="17" customHeight="1" s="93"/>
    <row r="351" ht="17" customHeight="1" s="93"/>
    <row r="352" ht="17" customHeight="1" s="93"/>
    <row r="353" ht="17" customHeight="1" s="93"/>
    <row r="354" ht="17" customHeight="1" s="93"/>
    <row r="355" ht="17" customHeight="1" s="93"/>
    <row r="356" ht="17" customHeight="1" s="93"/>
    <row r="357" ht="17" customHeight="1" s="93"/>
    <row r="358" ht="17" customHeight="1" s="93"/>
    <row r="359" ht="17" customHeight="1" s="93"/>
    <row r="360" ht="17" customHeight="1" s="93"/>
    <row r="361" ht="17" customHeight="1" s="93"/>
    <row r="362" ht="17" customHeight="1" s="93"/>
    <row r="363" ht="17" customHeight="1" s="93"/>
    <row r="364" ht="17" customHeight="1" s="93"/>
    <row r="365" ht="17" customHeight="1" s="93"/>
    <row r="366" ht="17" customHeight="1" s="93"/>
    <row r="367" ht="17" customHeight="1" s="93"/>
    <row r="368" ht="17" customHeight="1" s="93"/>
    <row r="369" ht="17" customHeight="1" s="93"/>
    <row r="370" ht="17" customHeight="1" s="93"/>
    <row r="371" ht="17" customHeight="1" s="93"/>
    <row r="372" ht="17" customHeight="1" s="93"/>
    <row r="373" ht="17" customHeight="1" s="93"/>
    <row r="374" ht="17" customHeight="1" s="93"/>
    <row r="375" ht="17" customHeight="1" s="93"/>
    <row r="376" ht="17" customHeight="1" s="93"/>
    <row r="377" ht="17" customHeight="1" s="93"/>
    <row r="378" ht="17" customHeight="1" s="93"/>
    <row r="379" ht="17" customHeight="1" s="93"/>
    <row r="380" ht="17" customHeight="1" s="93"/>
    <row r="382" ht="17" customHeight="1" s="93"/>
    <row r="383" ht="17" customHeight="1" s="93"/>
    <row r="384" ht="17" customHeight="1" s="93"/>
    <row r="385" ht="17" customHeight="1" s="93"/>
    <row r="386" ht="17" customHeight="1" s="93"/>
    <row r="387" ht="17" customHeight="1" s="93"/>
    <row r="388" ht="17" customHeight="1" s="93"/>
    <row r="389" ht="17" customHeight="1" s="93"/>
    <row r="390" ht="17" customHeight="1" s="93"/>
    <row r="391" ht="17" customHeight="1" s="93"/>
    <row r="392" ht="17" customHeight="1" s="93"/>
    <row r="393" ht="17" customHeight="1" s="93"/>
    <row r="394" ht="17" customHeight="1" s="93"/>
    <row r="395" ht="17" customHeight="1" s="93"/>
    <row r="396" ht="17" customHeight="1" s="93"/>
    <row r="397" ht="17" customHeight="1" s="93"/>
    <row r="398" ht="17" customHeight="1" s="93"/>
    <row r="399" ht="17" customHeight="1" s="93"/>
    <row r="400" ht="17" customHeight="1" s="93"/>
    <row r="401" ht="17" customFormat="1" customHeight="1" s="11"/>
    <row r="402" ht="17" customHeight="1" s="93"/>
    <row r="403" ht="17" customHeight="1" s="93"/>
    <row r="404" ht="17" customHeight="1" s="93"/>
    <row r="405" ht="17" customHeight="1" s="93"/>
    <row r="406" ht="17" customHeight="1" s="93"/>
    <row r="407" ht="17" customHeight="1" s="93"/>
    <row r="408" ht="17" customHeight="1" s="93"/>
    <row r="409" ht="17" customHeight="1" s="93"/>
    <row r="410" ht="17" customHeight="1" s="93"/>
    <row r="411" ht="17" customHeight="1" s="93"/>
    <row r="412" ht="17" customHeight="1" s="93"/>
    <row r="413" ht="17" customHeight="1" s="93"/>
    <row r="414" ht="17" customHeight="1" s="93"/>
    <row r="415" ht="17" customHeight="1" s="93"/>
    <row r="416" ht="17" customHeight="1" s="93"/>
    <row r="417" ht="17" customHeight="1" s="93"/>
    <row r="418" ht="17" customHeight="1" s="93"/>
    <row r="419" ht="17" customHeight="1" s="93"/>
    <row r="420" ht="17" customHeight="1" s="93"/>
    <row r="421" ht="17" customHeight="1" s="93"/>
    <row r="422" ht="17" customHeight="1" s="93"/>
    <row r="423" ht="17" customHeight="1" s="93"/>
    <row r="424" ht="17" customHeight="1" s="93"/>
    <row r="425" ht="17" customHeight="1" s="93"/>
    <row r="426" ht="17" customHeight="1" s="93"/>
    <row r="427" ht="17" customHeight="1" s="93"/>
    <row r="428" ht="17" customHeight="1" s="93"/>
    <row r="429" ht="17" customHeight="1" s="93"/>
    <row r="430" ht="17" customHeight="1" s="93"/>
    <row r="431" ht="17" customHeight="1" s="93"/>
    <row r="432" ht="17" customHeight="1" s="93"/>
    <row r="433" ht="17" customHeight="1" s="93"/>
    <row r="434" ht="17" customHeight="1" s="93"/>
    <row r="435" ht="17" customHeight="1" s="93"/>
    <row r="436" ht="17" customHeight="1" s="93"/>
    <row r="437" ht="17" customHeight="1" s="93"/>
    <row r="438" ht="17" customHeight="1" s="93"/>
    <row r="439" ht="17" customHeight="1" s="93"/>
    <row r="440" ht="17" customHeight="1" s="93"/>
    <row r="441" ht="17" customHeight="1" s="93"/>
    <row r="442" ht="17" customHeight="1" s="93"/>
    <row r="443" ht="17" customHeight="1" s="93"/>
    <row r="444" ht="17" customHeight="1" s="93"/>
    <row r="445" ht="17" customHeight="1" s="93"/>
    <row r="446" ht="17" customHeight="1" s="93"/>
    <row r="447" ht="17" customHeight="1" s="93"/>
    <row r="448" ht="17" customHeight="1" s="93"/>
    <row r="449" ht="17" customHeight="1" s="93"/>
    <row r="450" ht="17" customHeight="1" s="93"/>
    <row r="451" ht="17" customHeight="1" s="93"/>
    <row r="452" ht="17" customHeight="1" s="93"/>
    <row r="453" ht="17" customHeight="1" s="93"/>
    <row r="454" ht="17" customHeight="1" s="93"/>
    <row r="455" ht="17" customHeight="1" s="93"/>
    <row r="456" ht="17" customHeight="1" s="93"/>
    <row r="457" ht="17" customHeight="1" s="93"/>
    <row r="458" ht="17" customHeight="1" s="93"/>
    <row r="460" ht="15.5" customHeight="1" s="93"/>
    <row r="461" ht="15.5" customHeight="1" s="93"/>
    <row r="462" ht="15.5" customHeight="1" s="93"/>
    <row r="463" ht="17" customHeight="1" s="93"/>
    <row r="464" ht="17" customHeight="1" s="93"/>
    <row r="465" ht="17" customHeight="1" s="93"/>
    <row r="466" ht="17" customHeight="1" s="93"/>
    <row r="467" ht="17" customHeight="1" s="93"/>
    <row r="468" ht="17" customHeight="1" s="93"/>
    <row r="469" ht="17" customHeight="1" s="93"/>
    <row r="470" ht="17" customHeight="1" s="93"/>
    <row r="471" ht="17" customHeight="1" s="93"/>
    <row r="472" ht="17" customHeight="1" s="93"/>
    <row r="473" ht="17" customHeight="1" s="93"/>
    <row r="474" ht="17" customHeight="1" s="93"/>
    <row r="475" ht="17" customHeight="1" s="93"/>
    <row r="476" ht="17" customHeight="1" s="93"/>
    <row r="477" ht="17" customHeight="1" s="93"/>
    <row r="478" ht="17" customHeight="1" s="93"/>
    <row r="479" ht="17" customHeight="1" s="93"/>
    <row r="480" ht="17" customHeight="1" s="93"/>
    <row r="481" ht="17" customHeight="1" s="93"/>
    <row r="482" ht="17" customHeight="1" s="93"/>
    <row r="483" ht="17" customHeight="1" s="93"/>
    <row r="484" ht="17" customHeight="1" s="93"/>
    <row r="485" ht="17" customHeight="1" s="93"/>
    <row r="486" ht="17" customHeight="1" s="93"/>
    <row r="487" ht="17" customHeight="1" s="93"/>
    <row r="488" ht="17" customHeight="1" s="93"/>
    <row r="489" ht="17" customHeight="1" s="93"/>
    <row r="490" ht="17" customHeight="1" s="93"/>
    <row r="491" ht="17" customHeight="1" s="93"/>
    <row r="492" ht="17" customHeight="1" s="93"/>
    <row r="493" ht="17" customHeight="1" s="93"/>
    <row r="494" ht="17" customHeight="1" s="93"/>
    <row r="495" ht="17" customHeight="1" s="93"/>
    <row r="496" ht="17" customHeight="1" s="93"/>
    <row r="497" ht="17" customHeight="1" s="93"/>
    <row r="498" ht="17" customHeight="1" s="93"/>
    <row r="499" ht="17" customHeight="1" s="93"/>
    <row r="500" ht="17" customHeight="1" s="93"/>
    <row r="501" ht="17" customHeight="1" s="93"/>
    <row r="502" ht="17" customHeight="1" s="93"/>
    <row r="503" ht="17" customHeight="1" s="93"/>
    <row r="607" ht="15.5" customHeight="1" s="93"/>
    <row r="632" ht="17" customHeight="1" s="93"/>
    <row r="633" ht="17" customHeight="1" s="93"/>
    <row r="634" ht="17" customHeight="1" s="93"/>
    <row r="635" ht="17" customHeight="1" s="93"/>
    <row r="636" ht="17" customHeight="1" s="93"/>
    <row r="637" ht="17" customHeight="1" s="93"/>
    <row r="638" ht="17" customHeight="1" s="93"/>
    <row r="639" ht="17" customHeight="1" s="93"/>
    <row r="671" ht="15.5" customHeight="1" s="93"/>
    <row r="672" ht="15.5" customHeight="1" s="93"/>
    <row r="674" ht="15.5" customHeight="1" s="93"/>
    <row r="675" ht="15.5" customHeight="1" s="93"/>
    <row r="677" ht="15.5" customHeight="1" s="93"/>
    <row r="678" ht="15.5" customHeight="1" s="93"/>
    <row r="679" ht="15.5" customHeight="1" s="93"/>
    <row r="680" ht="15.5" customHeight="1" s="93"/>
    <row r="681" ht="15.5" customHeight="1" s="93"/>
    <row r="697" ht="15.5" customHeight="1" s="93"/>
    <row r="700" ht="15.5" customHeight="1" s="93"/>
    <row r="701" ht="15.5" customHeight="1" s="93"/>
    <row r="705" ht="15.5" customHeight="1" s="93"/>
    <row r="708" ht="17" customHeight="1" s="93"/>
    <row r="709" ht="17" customHeight="1" s="93"/>
    <row r="710" ht="17" customHeight="1" s="93"/>
    <row r="711" ht="17" customHeight="1" s="93"/>
    <row r="712" ht="17" customHeight="1" s="93"/>
    <row r="713" ht="17" customHeight="1" s="93"/>
    <row r="714" ht="17" customHeight="1" s="93"/>
    <row r="715" ht="17" customHeight="1" s="93"/>
    <row r="716" ht="17" customHeight="1" s="93"/>
    <row r="717" ht="17" customHeight="1" s="93"/>
    <row r="718" ht="17" customHeight="1" s="93"/>
    <row r="719" ht="17" customHeight="1" s="93"/>
    <row r="720" ht="17" customHeight="1" s="93"/>
    <row r="721" ht="17" customHeight="1" s="93"/>
    <row r="722" ht="17" customHeight="1" s="93"/>
    <row r="723" ht="17" customHeight="1" s="93"/>
    <row r="724" ht="17" customHeight="1" s="93"/>
    <row r="725" ht="17" customHeight="1" s="93"/>
    <row r="726" ht="17" customHeight="1" s="93"/>
    <row r="727" ht="17" customHeight="1" s="93"/>
    <row r="728" ht="17" customHeight="1" s="93"/>
    <row r="729" ht="17" customHeight="1" s="93"/>
    <row r="730" ht="17" customHeight="1" s="93"/>
    <row r="731" ht="17" customHeight="1" s="93"/>
    <row r="732" ht="17" customHeight="1" s="93"/>
    <row r="733" ht="17" customHeight="1" s="93"/>
    <row r="734" ht="17" customHeight="1" s="93"/>
    <row r="735" ht="17" customHeight="1" s="93"/>
    <row r="736" ht="17" customHeight="1" s="93"/>
    <row r="737" ht="17" customHeight="1" s="93"/>
    <row r="738" ht="17" customHeight="1" s="93"/>
    <row r="739" ht="17" customHeight="1" s="93"/>
    <row r="740" ht="17" customHeight="1" s="93"/>
    <row r="741" ht="17" customHeight="1" s="93"/>
    <row r="742" ht="17" customHeight="1" s="93"/>
    <row r="743" ht="17" customHeight="1" s="93"/>
    <row r="744" ht="17" customHeight="1" s="93"/>
    <row r="745" ht="17" customHeight="1" s="93"/>
    <row r="746" ht="17" customHeight="1" s="93"/>
    <row r="747" ht="17" customHeight="1" s="93"/>
    <row r="748" ht="17" customHeight="1" s="93"/>
    <row r="749" ht="17" customHeight="1" s="93"/>
    <row r="750" ht="17" customHeight="1" s="93"/>
    <row r="751" ht="17" customHeight="1" s="93"/>
    <row r="752" ht="17" customHeight="1" s="93"/>
    <row r="753" ht="17" customHeight="1" s="93"/>
    <row r="754" ht="17" customHeight="1" s="93"/>
    <row r="755" ht="17" customHeight="1" s="93"/>
    <row r="756" ht="17" customHeight="1" s="93"/>
    <row r="757" ht="17" customHeight="1" s="93"/>
    <row r="758" ht="17" customHeight="1" s="93"/>
    <row r="759" ht="17" customHeight="1" s="93"/>
    <row r="760" ht="17" customHeight="1" s="93"/>
    <row r="761" ht="17" customHeight="1" s="93"/>
    <row r="762" ht="17" customHeight="1" s="93"/>
    <row r="763" ht="17" customHeight="1" s="93"/>
    <row r="764" ht="17" customHeight="1" s="93"/>
    <row r="765" ht="17" customHeight="1" s="93"/>
    <row r="766" ht="17" customHeight="1" s="93"/>
    <row r="767" ht="17" customHeight="1" s="93"/>
    <row r="768" ht="17" customHeight="1" s="93"/>
    <row r="769" ht="17" customHeight="1" s="93"/>
    <row r="770" ht="17" customHeight="1" s="93"/>
    <row r="771" ht="17" customHeight="1" s="93"/>
    <row r="772" ht="17" customHeight="1" s="93"/>
    <row r="773" ht="17" customHeight="1" s="93"/>
    <row r="774" ht="17" customHeight="1" s="93"/>
    <row r="775" ht="17" customHeight="1" s="93"/>
    <row r="776" ht="17" customHeight="1" s="93"/>
    <row r="777" ht="17" customHeight="1" s="93"/>
    <row r="778" ht="17" customHeight="1" s="93"/>
    <row r="779" ht="17" customHeight="1" s="93"/>
    <row r="780" ht="17" customHeight="1" s="93"/>
    <row r="781" ht="17" customHeight="1" s="93"/>
    <row r="782" ht="17" customHeight="1" s="93"/>
    <row r="783" ht="17" customHeight="1" s="93"/>
    <row r="784" ht="17" customHeight="1" s="93"/>
    <row r="785" ht="17" customHeight="1" s="93"/>
    <row r="786" ht="17" customHeight="1" s="93"/>
    <row r="788" ht="17" customHeight="1" s="93"/>
    <row r="789" ht="17" customHeight="1" s="93"/>
    <row r="790" ht="17" customHeight="1" s="93"/>
    <row r="791" ht="17" customHeight="1" s="93"/>
    <row r="792" ht="17" customHeight="1" s="93"/>
    <row r="793" ht="17" customHeight="1" s="93"/>
    <row r="794" ht="17" customHeight="1" s="93"/>
    <row r="795" ht="17" customHeight="1" s="93"/>
    <row r="796" ht="17" customHeight="1" s="93"/>
    <row r="797" ht="17" customHeight="1" s="93"/>
    <row r="798" ht="17" customHeight="1" s="93"/>
    <row r="799" ht="17" customHeight="1" s="93"/>
    <row r="800" ht="17" customHeight="1" s="93"/>
    <row r="801" ht="17" customHeight="1" s="93"/>
    <row r="802" ht="17" customHeight="1" s="93"/>
    <row r="803" ht="17" customHeight="1" s="93"/>
    <row r="804" ht="17" customHeight="1" s="93"/>
    <row r="805" ht="17" customHeight="1" s="93"/>
    <row r="806" ht="17" customHeight="1" s="93"/>
    <row r="807" ht="17" customHeight="1" s="93"/>
    <row r="808" ht="17" customHeight="1" s="93"/>
    <row r="809" ht="17" customHeight="1" s="93"/>
    <row r="810" ht="17" customHeight="1" s="93"/>
    <row r="811" ht="17" customHeight="1" s="93"/>
    <row r="812" ht="17" customHeight="1" s="93"/>
    <row r="813" ht="17" customHeight="1" s="93"/>
    <row r="814" ht="17" customHeight="1" s="93"/>
    <row r="815" ht="17" customHeight="1" s="93"/>
    <row r="816" ht="17" customHeight="1" s="93"/>
    <row r="817" ht="17" customHeight="1" s="93"/>
    <row r="818" ht="17" customHeight="1" s="93"/>
    <row r="819" ht="17" customHeight="1" s="93"/>
    <row r="820" ht="17" customHeight="1" s="93"/>
    <row r="821" ht="17" customHeight="1" s="93"/>
    <row r="822" ht="17" customHeight="1" s="93"/>
    <row r="823" ht="17" customHeight="1" s="93"/>
    <row r="824" ht="17" customHeight="1" s="93"/>
    <row r="825" ht="17" customHeight="1" s="93"/>
    <row r="826" ht="17" customHeight="1" s="93"/>
    <row r="827" ht="17" customHeight="1" s="93"/>
    <row r="828" ht="17" customHeight="1" s="93"/>
    <row r="829" ht="17" customHeight="1" s="93"/>
    <row r="830" ht="17" customHeight="1" s="93"/>
    <row r="831" ht="17" customHeight="1" s="93"/>
    <row r="832" ht="17" customHeight="1" s="93"/>
    <row r="833" ht="17" customHeight="1" s="93"/>
    <row r="834" ht="17" customHeight="1" s="93"/>
    <row r="835" ht="17" customHeight="1" s="93"/>
    <row r="836" ht="17" customHeight="1" s="93"/>
    <row r="837" ht="17" customHeight="1" s="93"/>
    <row r="838" ht="17" customHeight="1" s="93"/>
    <row r="839" ht="17" customHeight="1" s="93"/>
    <row r="840" ht="17" customHeight="1" s="93"/>
    <row r="841" ht="17" customHeight="1" s="93"/>
    <row r="842" ht="17" customHeight="1" s="93"/>
    <row r="843" ht="17" customHeight="1" s="93"/>
    <row r="844" ht="17" customHeight="1" s="93"/>
    <row r="845" ht="17" customHeight="1" s="93"/>
    <row r="846" ht="17" customHeight="1" s="93"/>
    <row r="847" ht="17" customHeight="1" s="93"/>
    <row r="848" ht="17" customHeight="1" s="93"/>
    <row r="849" ht="17" customHeight="1" s="93"/>
    <row r="850" ht="17" customHeight="1" s="93"/>
    <row r="857" ht="15.5" customHeight="1" s="93"/>
    <row r="858" ht="15.5" customHeight="1" s="93"/>
    <row r="1014" ht="17" customHeight="1" s="93"/>
    <row r="1015" ht="17" customHeight="1" s="93"/>
    <row r="1016" ht="17" customHeight="1" s="93"/>
    <row r="1017" ht="17" customHeight="1" s="93"/>
    <row r="1018" ht="17" customHeight="1" s="93"/>
    <row r="1019" ht="17" customFormat="1" customHeight="1" s="11"/>
    <row r="1020" ht="17" customHeight="1" s="93"/>
    <row r="1021" ht="17" customHeight="1" s="93"/>
    <row r="1022" ht="17" customHeight="1" s="93"/>
    <row r="1023" ht="17" customHeight="1" s="93"/>
    <row r="1024" ht="17" customHeight="1" s="93"/>
    <row r="1025" ht="17" customHeight="1" s="93"/>
    <row r="1026" ht="17" customHeight="1" s="93"/>
    <row r="1027" ht="17" customHeight="1" s="93"/>
    <row r="1028" ht="17" customHeight="1" s="93"/>
    <row r="1029" ht="17" customHeight="1" s="93"/>
    <row r="1030" ht="17" customHeight="1" s="93"/>
    <row r="1031" ht="17" customHeight="1" s="93"/>
    <row r="1032" ht="17" customHeight="1" s="93"/>
    <row r="1033" ht="17" customHeight="1" s="93"/>
    <row r="1034" ht="17" customHeight="1" s="93"/>
    <row r="1035" ht="17" customHeight="1" s="93"/>
    <row r="1036" ht="17" customHeight="1" s="93"/>
    <row r="1037" ht="17" customHeight="1" s="93"/>
    <row r="1038" ht="17" customHeight="1" s="93"/>
    <row r="1039" ht="17" customHeight="1" s="93"/>
    <row r="1040" ht="17" customHeight="1" s="93"/>
    <row r="1041" ht="17" customHeight="1" s="93"/>
    <row r="1042" ht="17" customHeight="1" s="93"/>
    <row r="1043" ht="17" customHeight="1" s="93"/>
    <row r="1044" ht="17" customHeight="1" s="93"/>
    <row r="1045" ht="17" customHeight="1" s="93"/>
    <row r="1046" ht="17" customHeight="1" s="93"/>
    <row r="1047" ht="17" customHeight="1" s="93"/>
    <row r="1048" ht="17" customHeight="1" s="93"/>
    <row r="1049" ht="17" customHeight="1" s="93"/>
    <row r="1050" ht="17" customHeight="1" s="93"/>
    <row r="1051" ht="17" customHeight="1" s="93"/>
    <row r="1052" ht="17" customHeight="1" s="93"/>
    <row r="1053" ht="17" customHeight="1" s="93"/>
    <row r="1054" ht="17" customHeight="1" s="93"/>
    <row r="1055" ht="17" customHeight="1" s="93"/>
    <row r="1056" ht="17" customHeight="1" s="93"/>
    <row r="1057" ht="17" customHeight="1" s="93"/>
    <row r="1058" ht="17" customHeight="1" s="93"/>
    <row r="1059" ht="17" customHeight="1" s="93"/>
    <row r="1060" ht="17" customHeight="1" s="93"/>
    <row r="1061" ht="17" customHeight="1" s="93"/>
    <row r="1062" ht="17" customHeight="1" s="93"/>
    <row r="1063" ht="17" customHeight="1" s="93"/>
    <row r="1064" ht="17" customHeight="1" s="93"/>
    <row r="1065" ht="17" customHeight="1" s="93"/>
    <row r="1066" ht="17" customHeight="1" s="93"/>
    <row r="1067" ht="17" customHeight="1" s="93"/>
    <row r="1068" ht="17" customHeight="1" s="93"/>
    <row r="1069" ht="17" customHeight="1" s="93"/>
    <row r="1070" ht="17" customHeight="1" s="93"/>
    <row r="1071" ht="17" customHeight="1" s="93"/>
    <row r="1072" ht="17" customHeight="1" s="93"/>
    <row r="1073" ht="17" customHeight="1" s="93"/>
    <row r="1074" ht="17" customHeight="1" s="93"/>
    <row r="1075" ht="17" customHeight="1" s="93"/>
    <row r="1076" ht="17" customHeight="1" s="93"/>
    <row r="1077" ht="17" customHeight="1" s="93"/>
    <row r="1078" ht="17" customHeight="1" s="93"/>
    <row r="1079" ht="17" customHeight="1" s="93"/>
    <row r="1080" ht="17" customHeight="1" s="93"/>
    <row r="1081" ht="17" customHeight="1" s="93"/>
    <row r="1082" ht="17" customHeight="1" s="93"/>
    <row r="1083" ht="17" customHeight="1" s="93"/>
    <row r="1084" ht="17" customHeight="1" s="93"/>
    <row r="1085" ht="17" customHeight="1" s="93"/>
    <row r="1086" ht="17" customHeight="1" s="93"/>
    <row r="1087" ht="17" customHeight="1" s="93"/>
    <row r="1149" ht="17" customHeight="1" s="93"/>
    <row r="1150" ht="17" customHeight="1" s="93"/>
    <row r="1151" ht="17" customHeight="1" s="93"/>
    <row r="1152" ht="17" customHeight="1" s="93"/>
    <row r="1153" ht="17" customHeight="1" s="93"/>
    <row r="1154" ht="17" customHeight="1" s="93"/>
    <row r="1155" ht="17" customHeight="1" s="93"/>
    <row r="1156" ht="17" customHeight="1" s="93"/>
    <row r="1157" ht="17" customHeight="1" s="93"/>
    <row r="1158" ht="17" customHeight="1" s="93"/>
    <row r="1159" ht="17" customHeight="1" s="93"/>
    <row r="1160" ht="17" customHeight="1" s="93"/>
    <row r="1161" ht="17" customHeight="1" s="93"/>
    <row r="1162" ht="17" customHeight="1" s="93"/>
    <row r="1163" ht="17" customHeight="1" s="93"/>
    <row r="1164" ht="17" customHeight="1" s="93"/>
    <row r="1165" ht="17" customHeight="1" s="93"/>
    <row r="1166" ht="17" customHeight="1" s="93"/>
    <row r="1167" ht="17" customHeight="1" s="93"/>
    <row r="1168" ht="17" customHeight="1" s="93"/>
    <row r="1169" ht="17" customHeight="1" s="93"/>
    <row r="1170" ht="17" customHeight="1" s="93"/>
    <row r="1171" ht="17" customHeight="1" s="93"/>
    <row r="1172" ht="17" customHeight="1" s="93"/>
    <row r="1173" ht="17" customHeight="1" s="93"/>
    <row r="1174" ht="17" customHeight="1" s="93"/>
    <row r="1175" ht="17" customHeight="1" s="93"/>
    <row r="1176" ht="17" customHeight="1" s="93"/>
    <row r="1177" ht="17" customHeight="1" s="93"/>
    <row r="1178" ht="17" customHeight="1" s="93"/>
    <row r="1179" ht="17" customHeight="1" s="93"/>
    <row r="1180" ht="17" customHeight="1" s="93"/>
    <row r="1181" ht="17" customHeight="1" s="93"/>
    <row r="1182" ht="17" customHeight="1" s="93"/>
    <row r="1183" ht="17" customHeight="1" s="93"/>
    <row r="1184" ht="17" customHeight="1" s="93"/>
    <row r="1185" ht="17" customHeight="1" s="93"/>
    <row r="1186" ht="17" customHeight="1" s="93"/>
    <row r="1187" ht="17" customHeight="1" s="93"/>
    <row r="1188" ht="17" customHeight="1" s="93"/>
    <row r="1189" ht="17" customHeight="1" s="93"/>
    <row r="1190" ht="17" customHeight="1" s="93"/>
    <row r="1191" ht="17" customHeight="1" s="93"/>
    <row r="1192" ht="17" customHeight="1" s="93"/>
    <row r="1193" ht="17" customHeight="1" s="93"/>
    <row r="1194" ht="17" customHeight="1" s="93"/>
    <row r="1195" ht="17" customHeight="1" s="93"/>
    <row r="1196" ht="17" customHeight="1" s="93"/>
    <row r="1197" ht="17" customHeight="1" s="93"/>
    <row r="1198" ht="17" customHeight="1" s="93"/>
    <row r="1199" ht="17" customHeight="1" s="93"/>
    <row r="1200" ht="17" customHeight="1" s="93"/>
    <row r="1201" ht="17" customHeight="1" s="93"/>
    <row r="1202" ht="17" customHeight="1" s="93"/>
    <row r="1203" ht="17" customHeight="1" s="93"/>
    <row r="1204" ht="17" customHeight="1" s="93"/>
    <row r="1205" ht="17" customHeight="1" s="93"/>
    <row r="1206" ht="17" customHeight="1" s="93"/>
    <row r="1207" ht="17" customHeight="1" s="93"/>
    <row r="1208" ht="17" customHeight="1" s="93"/>
    <row r="1209" ht="17" customHeight="1" s="93"/>
    <row r="1210" ht="17" customHeight="1" s="93"/>
    <row r="1211" ht="17" customHeight="1" s="93"/>
    <row r="1222" ht="15.5" customHeight="1" s="93"/>
    <row r="1260" ht="17" customHeight="1" s="93"/>
    <row r="1401" ht="15.5" customHeight="1" s="93"/>
    <row r="1402" ht="15.5" customHeight="1" s="93"/>
    <row r="1404" ht="15.5" customHeight="1" s="93"/>
    <row r="1405" ht="14.5" customHeight="1" s="93"/>
    <row r="1440" ht="15.5" customHeight="1" s="93"/>
    <row r="1447" ht="15.5" customHeight="1" s="93"/>
    <row r="1456" ht="15.5" customHeight="1" s="93"/>
    <row r="1483" ht="15.5" customHeight="1" s="93"/>
    <row r="1496" ht="15.5" customHeight="1" s="93"/>
    <row r="1629" ht="15.5" customHeight="1" s="93"/>
    <row r="1671" ht="15.5" customHeight="1" s="93"/>
    <row r="1672" customFormat="1" s="184"/>
  </sheetData>
  <autoFilter ref="A7:AP1730">
    <sortState ref="A8:AP555">
      <sortCondition ref="A7:A1730"/>
    </sortState>
  </autoFilter>
  <mergeCells count="1">
    <mergeCell ref="A1:J1"/>
  </mergeCells>
  <conditionalFormatting sqref="L1:L7 L1704:L1048576">
    <cfRule type="duplicateValues" priority="2" dxfId="0"/>
    <cfRule type="duplicateValues" priority="3" dxfId="0"/>
  </conditionalFormatting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박명환</dc:creator>
  <dcterms:created xsi:type="dcterms:W3CDTF">2026-07-01T02:54:01Z</dcterms:created>
  <dcterms:modified xsi:type="dcterms:W3CDTF">2026-09-08T01:05:33Z</dcterms:modified>
  <cp:lastModifiedBy>User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0x0101005B62D11409CC9B4EA6D715D67B7F7FCF</vt:lpwstr>
  </property>
  <property name="MediaServiceImageTags" fmtid="{D5CDD505-2E9C-101B-9397-08002B2CF9AE}" pid="3">
    <vt:lpwstr/>
  </property>
</Properties>
</file>