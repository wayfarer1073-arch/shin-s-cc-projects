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그때커피" sheetId="1" state="visible" r:id="rId1"/>
  </sheets>
  <definedNames>
    <definedName name="_xlnm._FilterDatabase" localSheetId="0" hidden="1">'그때커피'!$A$3:$Q$187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&quot;년&quot;"/>
    <numFmt numFmtId="165" formatCode="#,##0&quot;월&quot;"/>
    <numFmt numFmtId="166" formatCode="#,##0&quot;일&quot;"/>
    <numFmt numFmtId="167" formatCode="_-* #,##0_-;\-* #,##0_-;_-* &quot;-&quot;_-;_-@_-"/>
    <numFmt numFmtId="168" formatCode="0_ "/>
  </numFmts>
  <fonts count="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나눔고딕 ExtraBold"/>
      <charset val="129"/>
      <family val="3"/>
      <color theme="1"/>
      <sz val="20"/>
    </font>
    <font>
      <name val="맑은 고딕"/>
      <charset val="129"/>
      <family val="2"/>
      <sz val="8"/>
      <scheme val="minor"/>
    </font>
    <font>
      <name val="나눔고딕"/>
      <charset val="129"/>
      <family val="3"/>
      <color theme="1"/>
      <sz val="11"/>
    </font>
    <font>
      <name val="나눔고딕"/>
      <charset val="129"/>
      <family val="3"/>
      <b val="1"/>
      <color theme="1"/>
      <sz val="11"/>
    </font>
    <font>
      <name val="나눔고딕 ExtraBold"/>
      <charset val="129"/>
      <family val="3"/>
      <color rgb="FF0000FF"/>
      <sz val="11"/>
    </font>
    <font>
      <name val="나눔고딕 ExtraBold"/>
      <charset val="129"/>
      <family val="3"/>
      <color theme="1"/>
      <sz val="11"/>
    </font>
    <font>
      <name val="나눔고딕"/>
      <charset val="129"/>
      <family val="3"/>
      <color rgb="FF000000"/>
      <sz val="1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 shrinkToFit="1"/>
    </xf>
    <xf numFmtId="165" fontId="4" fillId="0" borderId="0" applyAlignment="1" pivotButton="0" quotePrefix="0" xfId="0">
      <alignment horizontal="center" vertical="center" shrinkToFit="1"/>
    </xf>
    <xf numFmtId="166" fontId="4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shrinkToFit="1"/>
    </xf>
    <xf numFmtId="0" fontId="5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 shrinkToFit="1"/>
    </xf>
    <xf numFmtId="165" fontId="7" fillId="0" borderId="0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vertical="center" shrinkToFit="1"/>
    </xf>
    <xf numFmtId="167" fontId="7" fillId="0" borderId="0" applyAlignment="1" pivotButton="0" quotePrefix="0" xfId="1">
      <alignment horizontal="center" vertical="center"/>
    </xf>
    <xf numFmtId="0" fontId="7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 shrinkToFit="1"/>
    </xf>
    <xf numFmtId="165" fontId="4" fillId="2" borderId="1" applyAlignment="1" pivotButton="0" quotePrefix="0" xfId="0">
      <alignment horizontal="center" vertical="center" shrinkToFit="1"/>
    </xf>
    <xf numFmtId="166" fontId="4" fillId="2" borderId="1" applyAlignment="1" pivotButton="0" quotePrefix="0" xfId="0">
      <alignment horizontal="center" vertical="center" shrinkToFi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shrinkToFit="1"/>
    </xf>
    <xf numFmtId="0" fontId="4" fillId="2" borderId="1" applyAlignment="1" pivotButton="0" quotePrefix="0" xfId="0">
      <alignment horizontal="center" vertical="center" shrinkToFit="1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 shrinkToFit="1"/>
    </xf>
    <xf numFmtId="165" fontId="4" fillId="0" borderId="2" applyAlignment="1" pivotButton="0" quotePrefix="0" xfId="0">
      <alignment horizontal="center" vertical="center" shrinkToFit="1"/>
    </xf>
    <xf numFmtId="166" fontId="4" fillId="0" borderId="2" applyAlignment="1" pivotButton="0" quotePrefix="0" xfId="0">
      <alignment horizontal="center" vertical="center" shrinkToFit="1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shrinkToFit="1"/>
    </xf>
    <xf numFmtId="168" fontId="4" fillId="0" borderId="2" applyAlignment="1" pivotButton="0" quotePrefix="0" xfId="0">
      <alignment horizontal="center" vertical="center" shrinkToFit="1"/>
    </xf>
    <xf numFmtId="0" fontId="4" fillId="0" borderId="3" applyAlignment="1" pivotButton="0" quotePrefix="0" xfId="0">
      <alignment horizontal="center" vertical="center" shrinkToFit="1"/>
    </xf>
    <xf numFmtId="0" fontId="8" fillId="0" borderId="0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6" borderId="0" applyAlignment="1" pivotButton="0" quotePrefix="0" xfId="0">
      <alignment vertical="center"/>
    </xf>
    <xf numFmtId="0" fontId="4" fillId="0" borderId="3" applyAlignment="1" pivotButton="0" quotePrefix="0" xfId="0">
      <alignment vertical="center" shrinkToFit="1"/>
    </xf>
    <xf numFmtId="0" fontId="4" fillId="0" borderId="2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shrinkToFit="1"/>
    </xf>
    <xf numFmtId="165" fontId="4" fillId="0" borderId="0" applyAlignment="1" pivotButton="0" quotePrefix="0" xfId="0">
      <alignment horizontal="center" vertical="center" shrinkToFit="1"/>
    </xf>
    <xf numFmtId="166" fontId="4" fillId="0" borderId="0" applyAlignment="1" pivotButton="0" quotePrefix="0" xfId="0">
      <alignment horizontal="center" vertical="center" shrinkToFit="1"/>
    </xf>
    <xf numFmtId="0" fontId="0" fillId="0" borderId="0" pivotButton="0" quotePrefix="0" xfId="0"/>
    <xf numFmtId="164" fontId="7" fillId="0" borderId="0" applyAlignment="1" pivotButton="0" quotePrefix="0" xfId="0">
      <alignment horizontal="center" vertical="center" shrinkToFit="1"/>
    </xf>
    <xf numFmtId="165" fontId="7" fillId="0" borderId="0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horizontal="center" vertical="center" shrinkToFit="1"/>
    </xf>
    <xf numFmtId="167" fontId="7" fillId="0" borderId="0" applyAlignment="1" pivotButton="0" quotePrefix="0" xfId="1">
      <alignment horizontal="center" vertical="center"/>
    </xf>
    <xf numFmtId="164" fontId="4" fillId="2" borderId="1" applyAlignment="1" pivotButton="0" quotePrefix="0" xfId="0">
      <alignment horizontal="center" vertical="center" shrinkToFit="1"/>
    </xf>
    <xf numFmtId="165" fontId="4" fillId="2" borderId="1" applyAlignment="1" pivotButton="0" quotePrefix="0" xfId="0">
      <alignment horizontal="center" vertical="center" shrinkToFit="1"/>
    </xf>
    <xf numFmtId="166" fontId="4" fillId="2" borderId="1" applyAlignment="1" pivotButton="0" quotePrefix="0" xfId="0">
      <alignment horizontal="center" vertical="center" shrinkToFit="1"/>
    </xf>
  </cellXfs>
  <cellStyles count="2">
    <cellStyle name="표준" xfId="0" builtinId="0"/>
    <cellStyle name="쉼표 [0]" xfId="1" builtinId="6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0" tabSelected="1" zoomScale="85" zoomScaleNormal="85" workbookViewId="0">
      <pane xSplit="11" ySplit="4" topLeftCell="L5" activePane="bottomRight" state="frozen"/>
      <selection pane="topRight" activeCell="K1" sqref="K1"/>
      <selection pane="bottomLeft" activeCell="A5" sqref="A5"/>
      <selection pane="bottomRight" activeCell="G15" sqref="G15:G16"/>
    </sheetView>
  </sheetViews>
  <sheetFormatPr baseColWidth="8" defaultRowHeight="14.25"/>
  <cols>
    <col width="4.25" customWidth="1" style="5" min="1" max="1"/>
    <col width="5.5" customWidth="1" style="40" min="2" max="2"/>
    <col width="5.75" bestFit="1" customWidth="1" style="41" min="3" max="3"/>
    <col width="5.875" bestFit="1" customWidth="1" style="42" min="4" max="4"/>
    <col width="12.875" customWidth="1" style="5" min="5" max="5"/>
    <col width="40.375" customWidth="1" style="6" min="6" max="6"/>
    <col width="44.5" customWidth="1" style="6" min="7" max="7"/>
    <col width="8" customWidth="1" style="5" min="8" max="8"/>
    <col width="7.875" customWidth="1" style="8" min="9" max="9"/>
    <col width="10.5" customWidth="1" style="5" min="10" max="10"/>
    <col width="15.25" customWidth="1" style="5" min="11" max="11"/>
    <col width="51.5" customWidth="1" style="6" min="12" max="12"/>
    <col width="8.875" customWidth="1" style="6" min="13" max="13"/>
    <col width="17.875" customWidth="1" style="6" min="14" max="14"/>
    <col width="7.375" customWidth="1" style="5" min="15" max="15"/>
    <col width="11.125" customWidth="1" style="5" min="16" max="16"/>
    <col width="17" customWidth="1" style="6" min="17" max="17"/>
    <col width="9" customWidth="1" style="9" min="18" max="16384"/>
  </cols>
  <sheetData>
    <row r="1" ht="25.5" customHeight="1" s="43">
      <c r="A1" s="1" t="inlineStr">
        <is>
          <t>■ 그때커피_주문서 정리본</t>
        </is>
      </c>
      <c r="G1" s="7" t="n"/>
    </row>
    <row r="2" ht="13.5" customFormat="1" customHeight="1" s="16">
      <c r="A2" s="10" t="n"/>
      <c r="B2" s="44" t="n"/>
      <c r="C2" s="45" t="n"/>
      <c r="D2" s="46" t="n"/>
      <c r="E2" s="10" t="n"/>
      <c r="F2" s="14" t="n"/>
      <c r="G2" s="14" t="n"/>
      <c r="H2" s="10">
        <f>SUM(H4:H242)</f>
        <v/>
      </c>
      <c r="I2" s="8">
        <f>SUM(I4:I242)</f>
        <v/>
      </c>
      <c r="J2" s="47" t="n"/>
      <c r="K2" s="47">
        <f>I2*J2</f>
        <v/>
      </c>
      <c r="L2" s="14" t="n"/>
      <c r="M2" s="14" t="n"/>
      <c r="N2" s="14" t="n"/>
      <c r="O2" s="10">
        <f>COUNTA(O4:O1048576)</f>
        <v/>
      </c>
      <c r="P2" s="10" t="n"/>
      <c r="Q2" s="14" t="n"/>
    </row>
    <row r="3" ht="15" customFormat="1" customHeight="1" s="5" thickBot="1">
      <c r="A3" s="17" t="inlineStr">
        <is>
          <t>NO</t>
        </is>
      </c>
      <c r="B3" s="48" t="inlineStr">
        <is>
          <t>년</t>
        </is>
      </c>
      <c r="C3" s="49" t="inlineStr">
        <is>
          <t>월</t>
        </is>
      </c>
      <c r="D3" s="50" t="inlineStr">
        <is>
          <t>일</t>
        </is>
      </c>
      <c r="E3" s="21" t="inlineStr">
        <is>
          <t>주문번호</t>
        </is>
      </c>
      <c r="F3" s="22" t="inlineStr">
        <is>
          <t>상품명</t>
        </is>
      </c>
      <c r="G3" s="23" t="inlineStr">
        <is>
          <t>옵션</t>
        </is>
      </c>
      <c r="H3" s="17" t="inlineStr">
        <is>
          <t>배송건수</t>
        </is>
      </c>
      <c r="I3" s="24" t="inlineStr">
        <is>
          <t>판매수량</t>
        </is>
      </c>
      <c r="J3" s="21" t="inlineStr">
        <is>
          <t>수령인명</t>
        </is>
      </c>
      <c r="K3" s="21" t="inlineStr">
        <is>
          <t>수령인 연락처</t>
        </is>
      </c>
      <c r="L3" s="22" t="inlineStr">
        <is>
          <t>배송지 주소</t>
        </is>
      </c>
      <c r="M3" s="22" t="inlineStr">
        <is>
          <t>우편번호</t>
        </is>
      </c>
      <c r="N3" s="22" t="inlineStr">
        <is>
          <t>특이사항</t>
        </is>
      </c>
      <c r="O3" s="17" t="inlineStr">
        <is>
          <t>비고</t>
        </is>
      </c>
      <c r="P3" s="25" t="inlineStr">
        <is>
          <t>택배사</t>
        </is>
      </c>
      <c r="Q3" s="26" t="inlineStr">
        <is>
          <t>택배운송장</t>
        </is>
      </c>
    </row>
    <row r="4" ht="14.25" customHeight="1" s="43" thickTop="1"/>
    <row r="5" ht="14.25" customHeight="1" s="43"/>
    <row r="6" ht="14.25" customHeight="1" s="43"/>
    <row r="7" ht="14.25" customHeight="1" s="43"/>
    <row r="89" customFormat="1" s="37"/>
  </sheetData>
  <autoFilter ref="A3:Q187"/>
  <conditionalFormatting sqref="O1:O1048576">
    <cfRule type="cellIs" priority="2" operator="equal" dxfId="0">
      <formula>"지인"</formula>
    </cfRule>
  </conditionalFormatting>
  <conditionalFormatting sqref="Q4:Q8">
    <cfRule type="duplicateValues" priority="3" dxfId="0"/>
  </conditionalFormatting>
  <conditionalFormatting sqref="Q9:Q96">
    <cfRule type="duplicateValues" priority="1" dxfId="0"/>
  </conditionalFormatting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2026-09-08T02:30:04Z</dcterms:created>
  <dcterms:modified xmlns:dcterms="http://purl.org/dc/terms/" xmlns:xsi="http://www.w3.org/2001/XMLSchema-instance" xsi:type="dcterms:W3CDTF">2026-09-08T08:15:51Z</dcterms:modified>
  <cp:lastModifiedBy>User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0x0101005B62D11409CC9B4EA6D715D67B7F7FCF</vt:lpwstr>
  </property>
</Properties>
</file>