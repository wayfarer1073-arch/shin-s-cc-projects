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끌레르허니" sheetId="1" state="visible" r:id="rId1"/>
  </sheets>
  <definedNames>
    <definedName name="_xlnm._FilterDatabase" localSheetId="0" hidden="1">'끌레르허니'!$A$3:$Q$187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2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 shrinkToFit="1"/>
    </xf>
    <xf numFmtId="165" fontId="4" fillId="3" borderId="1" applyAlignment="1" pivotButton="0" quotePrefix="0" xfId="0">
      <alignment horizontal="center" vertical="center" shrinkToFit="1"/>
    </xf>
    <xf numFmtId="166" fontId="4" fillId="3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6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3" borderId="1" applyAlignment="1" pivotButton="0" quotePrefix="0" xfId="0">
      <alignment horizontal="center" vertical="center" shrinkToFit="1"/>
    </xf>
    <xf numFmtId="165" fontId="4" fillId="3" borderId="1" applyAlignment="1" pivotButton="0" quotePrefix="0" xfId="0">
      <alignment horizontal="center" vertical="center" shrinkToFit="1"/>
    </xf>
    <xf numFmtId="166" fontId="4" fillId="3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F15" sqref="F15"/>
    </sheetView>
  </sheetViews>
  <sheetFormatPr baseColWidth="8" defaultRowHeight="14.25"/>
  <cols>
    <col width="4.25" customWidth="1" style="5" min="1" max="1"/>
    <col width="5.5" customWidth="1" style="40" min="2" max="2"/>
    <col width="5.75" bestFit="1" customWidth="1" style="41" min="3" max="3"/>
    <col width="5.875" bestFit="1" customWidth="1" style="42" min="4" max="4"/>
    <col width="12.875" customWidth="1" style="5" min="5" max="5"/>
    <col width="40.375" customWidth="1" style="6" min="6" max="6"/>
    <col width="54.5" bestFit="1" customWidth="1" style="6" min="7" max="7"/>
    <col width="8" customWidth="1" style="5" min="8" max="8"/>
    <col width="7.875" customWidth="1" style="8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9" min="18" max="16384"/>
  </cols>
  <sheetData>
    <row r="1" ht="25.5" customHeight="1" s="43">
      <c r="A1" s="1" t="inlineStr">
        <is>
          <t>■ 끌레르허니_주문서 정리본</t>
        </is>
      </c>
      <c r="G1" s="7" t="n"/>
    </row>
    <row r="2" ht="13.5" customFormat="1" customHeight="1" s="16">
      <c r="A2" s="10" t="n"/>
      <c r="B2" s="44" t="n"/>
      <c r="C2" s="45" t="n"/>
      <c r="D2" s="46" t="n"/>
      <c r="E2" s="10" t="n"/>
      <c r="F2" s="14" t="n"/>
      <c r="G2" s="14" t="n"/>
      <c r="H2" s="10">
        <f>SUM(H4:H502)</f>
        <v/>
      </c>
      <c r="I2" s="8">
        <f>SUM(I4:I502)</f>
        <v/>
      </c>
      <c r="J2" s="47" t="n"/>
      <c r="K2" s="47">
        <f>I2*J2</f>
        <v/>
      </c>
      <c r="L2" s="14" t="n"/>
      <c r="M2" s="14" t="n"/>
      <c r="N2" s="14" t="n"/>
      <c r="O2" s="10">
        <f>COUNTA(O4:O1048576)</f>
        <v/>
      </c>
      <c r="P2" s="10" t="n"/>
      <c r="Q2" s="14" t="n"/>
    </row>
    <row r="3" ht="15" customFormat="1" customHeight="1" s="5" thickBot="1">
      <c r="A3" s="17" t="inlineStr">
        <is>
          <t>NO</t>
        </is>
      </c>
      <c r="B3" s="48" t="inlineStr">
        <is>
          <t>년</t>
        </is>
      </c>
      <c r="C3" s="49" t="inlineStr">
        <is>
          <t>월</t>
        </is>
      </c>
      <c r="D3" s="50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3" thickTop="1"/>
    <row r="5" ht="14.25" customHeight="1" s="43"/>
    <row r="6" ht="14.25" customHeight="1" s="43"/>
    <row r="7" ht="14.25" customHeight="1" s="43"/>
    <row r="31" ht="15.75" customHeight="1" s="43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2026-09-07T02:26:11Z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