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비타리움" sheetId="1" state="visible" r:id="rId1"/>
  </sheets>
  <definedNames>
    <definedName name="_xlnm._FilterDatabase" localSheetId="0" hidden="1">'비타리움'!$A$3:$S$396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167" fontId="5" fillId="0" borderId="2" applyAlignment="1" pivotButton="0" quotePrefix="0" xfId="1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167" fontId="5" fillId="0" borderId="0" applyAlignment="1" pivotButton="0" quotePrefix="0" xfId="1">
      <alignment horizontal="center" vertical="center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7" fontId="5" fillId="4" borderId="1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tabSelected="1" zoomScale="85" zoomScaleNormal="85" workbookViewId="0">
      <pane xSplit="13" ySplit="4" topLeftCell="N5" activePane="bottomRight" state="frozen"/>
      <selection activeCell="G32" sqref="G32"/>
      <selection pane="topRight" activeCell="G32" sqref="G32"/>
      <selection pane="bottomLeft" activeCell="G32" sqref="G32"/>
      <selection pane="bottomRight" activeCell="A1" sqref="A1:A1048576"/>
    </sheetView>
  </sheetViews>
  <sheetFormatPr baseColWidth="8" defaultRowHeight="14.25"/>
  <cols>
    <col width="4.25" customWidth="1" style="5" min="1" max="1"/>
    <col width="5.5" customWidth="1" style="42" min="2" max="2"/>
    <col width="5.75" bestFit="1" customWidth="1" style="43" min="3" max="3"/>
    <col width="5.875" bestFit="1" customWidth="1" style="44" min="4" max="4"/>
    <col width="12.875" customWidth="1" style="5" min="5" max="5"/>
    <col width="40.375" customWidth="1" style="6" min="6" max="6"/>
    <col width="11.75" bestFit="1" customWidth="1" style="6" min="7" max="7"/>
    <col width="8" customWidth="1" style="5" min="8" max="8"/>
    <col width="7.875" customWidth="1" style="7" min="9" max="9"/>
    <col width="10.25" customWidth="1" style="45" min="10" max="11"/>
    <col width="10.5" customWidth="1" style="5" min="12" max="12"/>
    <col width="15.25" customWidth="1" style="5" min="13" max="13"/>
    <col width="51.5" customWidth="1" style="6" min="14" max="14"/>
    <col width="8.875" customWidth="1" style="6" min="15" max="15"/>
    <col width="17.875" customWidth="1" style="6" min="16" max="16"/>
    <col width="7.375" customWidth="1" style="5" min="17" max="17"/>
    <col width="11.125" customWidth="1" style="5" min="18" max="18"/>
    <col width="17" customWidth="1" style="6" min="19" max="19"/>
    <col width="9" customWidth="1" style="9" min="20" max="16384"/>
  </cols>
  <sheetData>
    <row r="1" ht="25.5" customHeight="1" s="46">
      <c r="A1" s="1" t="inlineStr">
        <is>
          <t>■ 비타리움 브랜드 제품 주문서 정리본</t>
        </is>
      </c>
    </row>
    <row r="2" customFormat="1" s="16">
      <c r="A2" s="10" t="n"/>
      <c r="B2" s="47" t="n"/>
      <c r="C2" s="48" t="n"/>
      <c r="D2" s="49" t="n"/>
      <c r="E2" s="10" t="n"/>
      <c r="F2" s="14" t="n"/>
      <c r="G2" s="14" t="n"/>
      <c r="H2" s="10">
        <f>SUM(H4:H967)</f>
        <v/>
      </c>
      <c r="I2" s="7">
        <f>SUM(I4:I967)</f>
        <v/>
      </c>
      <c r="J2" s="45" t="n"/>
      <c r="K2" s="45">
        <f>SUM(K4:K1048576)</f>
        <v/>
      </c>
      <c r="L2" s="50" t="n"/>
      <c r="M2" s="50">
        <f>I2*L2</f>
        <v/>
      </c>
      <c r="N2" s="14" t="n"/>
      <c r="O2" s="14" t="n"/>
      <c r="P2" s="14" t="n"/>
      <c r="Q2" s="10">
        <f>COUNTA(Q4:Q1048576)</f>
        <v/>
      </c>
      <c r="R2" s="10" t="n"/>
      <c r="S2" s="14" t="n"/>
    </row>
    <row r="3" ht="15" customFormat="1" customHeight="1" s="5" thickBot="1">
      <c r="A3" s="17" t="inlineStr">
        <is>
          <t>NO</t>
        </is>
      </c>
      <c r="B3" s="51" t="inlineStr">
        <is>
          <t>년</t>
        </is>
      </c>
      <c r="C3" s="52" t="inlineStr">
        <is>
          <t>월</t>
        </is>
      </c>
      <c r="D3" s="53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54" t="inlineStr">
        <is>
          <t>단가</t>
        </is>
      </c>
      <c r="K3" s="54" t="inlineStr">
        <is>
          <t>금액</t>
        </is>
      </c>
      <c r="L3" s="21" t="inlineStr">
        <is>
          <t>수령인명</t>
        </is>
      </c>
      <c r="M3" s="21" t="inlineStr">
        <is>
          <t>수령인 연락처</t>
        </is>
      </c>
      <c r="N3" s="22" t="inlineStr">
        <is>
          <t>배송지 주소</t>
        </is>
      </c>
      <c r="O3" s="22" t="inlineStr">
        <is>
          <t>우편번호</t>
        </is>
      </c>
      <c r="P3" s="22" t="inlineStr">
        <is>
          <t>특이사항</t>
        </is>
      </c>
      <c r="Q3" s="17" t="inlineStr">
        <is>
          <t>비고</t>
        </is>
      </c>
      <c r="R3" s="26" t="inlineStr">
        <is>
          <t>택배사</t>
        </is>
      </c>
      <c r="S3" s="27" t="inlineStr">
        <is>
          <t>택배운송장</t>
        </is>
      </c>
    </row>
    <row r="4" ht="15" customHeight="1" s="46" thickTop="1"/>
    <row r="89" customFormat="1" s="39"/>
  </sheetData>
  <autoFilter ref="A3:S396"/>
  <conditionalFormatting sqref="Q1:Q1048576">
    <cfRule type="cellIs" priority="2" operator="equal" dxfId="0">
      <formula>"지인"</formula>
    </cfRule>
  </conditionalFormatting>
  <conditionalFormatting sqref="S4:S8">
    <cfRule type="duplicateValues" priority="3" dxfId="0"/>
  </conditionalFormatting>
  <conditionalFormatting sqref="S9:S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2026-04-24T02:21:40Z</dcterms:created>
  <dcterms:modified xmlns:dcterms="http://purl.org/dc/terms/" xmlns:xsi="http://www.w3.org/2001/XMLSchema-instance" xsi:type="dcterms:W3CDTF">2026-09-08T08:15:51Z</dcterms:modified>
  <cp:lastModifiedBy>HEE LIM PARK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