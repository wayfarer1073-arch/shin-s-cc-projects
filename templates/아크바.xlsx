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65" yWindow="1785" windowWidth="18390" windowHeight="12405" tabRatio="600" firstSheet="0" activeTab="0" autoFilterDateGrouping="1"/>
  </bookViews>
  <sheets>
    <sheet xmlns:r="http://schemas.openxmlformats.org/officeDocument/2006/relationships" name="아크바" sheetId="1" state="visible" r:id="rId1"/>
  </sheets>
  <definedNames>
    <definedName name="_xlnm._FilterDatabase" localSheetId="0" hidden="1">'아크바'!$A$3:$P$187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#,##0&quot;년&quot;"/>
    <numFmt numFmtId="165" formatCode="#,##0&quot;월&quot;"/>
    <numFmt numFmtId="166" formatCode="#,##0&quot;일&quot;"/>
    <numFmt numFmtId="167" formatCode="_-* #,##0_-;\-* #,##0_-;_-* &quot;-&quot;_-;_-@_-"/>
  </numFmts>
  <fonts count="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나눔고딕 ExtraBold"/>
      <charset val="129"/>
      <family val="3"/>
      <color theme="1"/>
      <sz val="20"/>
    </font>
    <font>
      <name val="맑은 고딕"/>
      <charset val="129"/>
      <family val="2"/>
      <sz val="8"/>
      <scheme val="minor"/>
    </font>
    <font>
      <name val="나눔고딕"/>
      <charset val="129"/>
      <family val="3"/>
      <color theme="1"/>
      <sz val="11"/>
    </font>
    <font>
      <name val="나눔고딕 ExtraBold"/>
      <charset val="129"/>
      <family val="3"/>
      <color rgb="FF0000FF"/>
      <sz val="11"/>
    </font>
    <font>
      <name val="나눔고딕 ExtraBold"/>
      <charset val="129"/>
      <family val="3"/>
      <color theme="1"/>
      <sz val="11"/>
    </font>
    <font>
      <name val="나눔고딕"/>
      <charset val="129"/>
      <family val="3"/>
      <color rgb="FF000000"/>
      <sz val="11"/>
    </font>
    <font>
      <name val="맑은 고딕"/>
      <charset val="129"/>
      <family val="3"/>
      <color theme="1"/>
      <sz val="11"/>
      <scheme val="major"/>
    </font>
  </fonts>
  <fills count="6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rgb="FF000000"/>
      </left>
      <right style="thin">
        <color rgb="FF000000"/>
      </right>
      <top style="hair">
        <color indexed="64"/>
      </top>
      <bottom style="hair">
        <color indexed="64"/>
      </bottom>
      <diagonal/>
    </border>
  </borders>
  <cellStyleXfs count="2">
    <xf numFmtId="0" fontId="1" fillId="0" borderId="0" applyAlignment="1">
      <alignment vertical="center"/>
    </xf>
    <xf numFmtId="41" fontId="1" fillId="0" borderId="0" applyAlignment="1">
      <alignment vertical="center"/>
    </xf>
  </cellStyleXfs>
  <cellXfs count="62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4" fillId="0" borderId="0" applyAlignment="1" pivotButton="0" quotePrefix="0" xfId="0">
      <alignment horizontal="center" vertical="center" shrinkToFit="1"/>
    </xf>
    <xf numFmtId="165" fontId="4" fillId="0" borderId="0" applyAlignment="1" pivotButton="0" quotePrefix="0" xfId="0">
      <alignment horizontal="center" vertical="center" shrinkToFit="1"/>
    </xf>
    <xf numFmtId="166" fontId="4" fillId="0" borderId="0" applyAlignment="1" pivotButton="0" quotePrefix="0" xfId="0">
      <alignment horizontal="center" vertical="center" shrinkToFi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shrinkToFit="1"/>
    </xf>
    <xf numFmtId="0" fontId="5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vertical="center" shrinkToFit="1"/>
    </xf>
    <xf numFmtId="0" fontId="4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 shrinkToFit="1"/>
    </xf>
    <xf numFmtId="165" fontId="6" fillId="0" borderId="0" applyAlignment="1" pivotButton="0" quotePrefix="0" xfId="0">
      <alignment horizontal="center" vertical="center" shrinkToFit="1"/>
    </xf>
    <xf numFmtId="166" fontId="6" fillId="0" borderId="0" applyAlignment="1" pivotButton="0" quotePrefix="0" xfId="0">
      <alignment horizontal="center" vertical="center" shrinkToFit="1"/>
    </xf>
    <xf numFmtId="0" fontId="6" fillId="0" borderId="0" applyAlignment="1" pivotButton="0" quotePrefix="0" xfId="0">
      <alignment vertical="center" shrinkToFit="1"/>
    </xf>
    <xf numFmtId="167" fontId="6" fillId="0" borderId="0" applyAlignment="1" pivotButton="0" quotePrefix="0" xfId="1">
      <alignment horizontal="center" vertical="center"/>
    </xf>
    <xf numFmtId="49" fontId="6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 shrinkToFit="1"/>
    </xf>
    <xf numFmtId="165" fontId="4" fillId="2" borderId="1" applyAlignment="1" pivotButton="0" quotePrefix="0" xfId="0">
      <alignment horizontal="center" vertical="center" shrinkToFit="1"/>
    </xf>
    <xf numFmtId="166" fontId="4" fillId="2" borderId="1" applyAlignment="1" pivotButton="0" quotePrefix="0" xfId="0">
      <alignment horizontal="center" vertical="center" shrinkToFi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shrinkToFit="1"/>
    </xf>
    <xf numFmtId="0" fontId="4" fillId="2" borderId="1" applyAlignment="1" pivotButton="0" quotePrefix="0" xfId="0">
      <alignment horizontal="center" vertical="center" shrinkToFit="1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49" fontId="4" fillId="5" borderId="1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 shrinkToFit="1"/>
    </xf>
    <xf numFmtId="165" fontId="4" fillId="0" borderId="2" applyAlignment="1" pivotButton="0" quotePrefix="0" xfId="0">
      <alignment horizontal="center" vertical="center" shrinkToFit="1"/>
    </xf>
    <xf numFmtId="166" fontId="4" fillId="0" borderId="2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vertical="center" shrinkToFit="1"/>
    </xf>
    <xf numFmtId="49" fontId="4" fillId="0" borderId="2" applyAlignment="1" pivotButton="0" quotePrefix="0" xfId="0">
      <alignment horizontal="center" vertical="center" shrinkToFit="1"/>
    </xf>
    <xf numFmtId="0" fontId="4" fillId="0" borderId="3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 shrinkToFit="1"/>
    </xf>
    <xf numFmtId="49" fontId="4" fillId="0" borderId="3" applyAlignment="1" pivotButton="0" quotePrefix="0" xfId="0">
      <alignment horizontal="center" vertical="center" shrinkToFit="1"/>
    </xf>
    <xf numFmtId="49" fontId="4" fillId="0" borderId="4" applyAlignment="1" pivotButton="0" quotePrefix="0" xfId="0">
      <alignment horizontal="center" vertical="center" shrinkToFit="1"/>
    </xf>
    <xf numFmtId="0" fontId="7" fillId="0" borderId="0" applyAlignment="1" pivotButton="0" quotePrefix="0" xfId="0">
      <alignment horizontal="center" vertical="center" shrinkToFit="1"/>
    </xf>
    <xf numFmtId="0" fontId="4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shrinkToFit="1"/>
    </xf>
    <xf numFmtId="49" fontId="4" fillId="0" borderId="5" applyAlignment="1" pivotButton="0" quotePrefix="0" xfId="0">
      <alignment horizontal="center" vertical="center" shrinkToFit="1"/>
    </xf>
    <xf numFmtId="49" fontId="4" fillId="0" borderId="3" applyAlignment="1" pivotButton="0" quotePrefix="0" xfId="0">
      <alignment horizontal="center" vertical="center"/>
    </xf>
    <xf numFmtId="165" fontId="4" fillId="0" borderId="3" applyAlignment="1" pivotButton="0" quotePrefix="0" xfId="0">
      <alignment horizontal="center" vertical="center" shrinkToFit="1"/>
    </xf>
    <xf numFmtId="166" fontId="4" fillId="0" borderId="3" applyAlignment="1" pivotButton="0" quotePrefix="0" xfId="0">
      <alignment horizontal="center" vertical="center" shrinkToFit="1"/>
    </xf>
    <xf numFmtId="165" fontId="4" fillId="0" borderId="4" applyAlignment="1" pivotButton="0" quotePrefix="0" xfId="0">
      <alignment horizontal="center" vertical="center" shrinkToFit="1"/>
    </xf>
    <xf numFmtId="166" fontId="4" fillId="0" borderId="4" applyAlignment="1" pivotButton="0" quotePrefix="0" xfId="0">
      <alignment horizontal="center" vertical="center" shrinkToFit="1"/>
    </xf>
    <xf numFmtId="49" fontId="8" fillId="0" borderId="3" applyAlignment="1" pivotButton="0" quotePrefix="0" xfId="0">
      <alignment horizontal="center" vertical="center" wrapText="1"/>
    </xf>
    <xf numFmtId="49" fontId="4" fillId="0" borderId="3" applyAlignment="1" pivotButton="0" quotePrefix="0" xfId="0">
      <alignment vertical="center" shrinkToFit="1"/>
    </xf>
    <xf numFmtId="0" fontId="4" fillId="0" borderId="2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 shrinkToFit="1"/>
    </xf>
    <xf numFmtId="165" fontId="4" fillId="0" borderId="0" applyAlignment="1" pivotButton="0" quotePrefix="0" xfId="0">
      <alignment horizontal="center" vertical="center" shrinkToFit="1"/>
    </xf>
    <xf numFmtId="166" fontId="4" fillId="0" borderId="0" applyAlignment="1" pivotButton="0" quotePrefix="0" xfId="0">
      <alignment horizontal="center" vertical="center" shrinkToFit="1"/>
    </xf>
    <xf numFmtId="0" fontId="0" fillId="0" borderId="0" pivotButton="0" quotePrefix="0" xfId="0"/>
    <xf numFmtId="164" fontId="6" fillId="0" borderId="0" applyAlignment="1" pivotButton="0" quotePrefix="0" xfId="0">
      <alignment horizontal="center" vertical="center" shrinkToFit="1"/>
    </xf>
    <xf numFmtId="165" fontId="6" fillId="0" borderId="0" applyAlignment="1" pivotButton="0" quotePrefix="0" xfId="0">
      <alignment horizontal="center" vertical="center" shrinkToFit="1"/>
    </xf>
    <xf numFmtId="166" fontId="6" fillId="0" borderId="0" applyAlignment="1" pivotButton="0" quotePrefix="0" xfId="0">
      <alignment horizontal="center" vertical="center" shrinkToFit="1"/>
    </xf>
    <xf numFmtId="167" fontId="6" fillId="0" borderId="0" applyAlignment="1" pivotButton="0" quotePrefix="0" xfId="1">
      <alignment horizontal="center" vertical="center"/>
    </xf>
    <xf numFmtId="164" fontId="4" fillId="2" borderId="1" applyAlignment="1" pivotButton="0" quotePrefix="0" xfId="0">
      <alignment horizontal="center" vertical="center" shrinkToFit="1"/>
    </xf>
    <xf numFmtId="165" fontId="4" fillId="2" borderId="1" applyAlignment="1" pivotButton="0" quotePrefix="0" xfId="0">
      <alignment horizontal="center" vertical="center" shrinkToFit="1"/>
    </xf>
    <xf numFmtId="166" fontId="4" fillId="2" borderId="1" applyAlignment="1" pivotButton="0" quotePrefix="0" xfId="0">
      <alignment horizontal="center" vertical="center" shrinkToFit="1"/>
    </xf>
  </cellXfs>
  <cellStyles count="2">
    <cellStyle name="표준" xfId="0" builtinId="0"/>
    <cellStyle name="쉼표 [0]" xfId="1" builtinId="6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showGridLines="0" tabSelected="1" zoomScale="85" zoomScaleNormal="85" workbookViewId="0">
      <pane xSplit="11" ySplit="4" topLeftCell="O5" activePane="bottomRight" state="frozen"/>
      <selection pane="topRight" activeCell="K1" sqref="K1"/>
      <selection pane="bottomLeft" activeCell="A5" sqref="A5"/>
      <selection pane="bottomRight" activeCell="P7" sqref="P7"/>
    </sheetView>
  </sheetViews>
  <sheetFormatPr baseColWidth="8" defaultRowHeight="14.25"/>
  <cols>
    <col width="4.25" customWidth="1" style="5" min="1" max="1"/>
    <col width="5.5" customWidth="1" style="51" min="2" max="2"/>
    <col width="5.75" bestFit="1" customWidth="1" style="52" min="3" max="3"/>
    <col width="5.875" bestFit="1" customWidth="1" style="53" min="4" max="4"/>
    <col width="12.875" customWidth="1" style="5" min="5" max="5"/>
    <col width="39.75" customWidth="1" style="6" min="6" max="6"/>
    <col width="26" customWidth="1" style="6" min="7" max="7"/>
    <col width="10.25" customWidth="1" style="5" min="8" max="8"/>
    <col width="10.25" customWidth="1" style="7" min="9" max="9"/>
    <col width="10.5" customWidth="1" style="5" min="10" max="10"/>
    <col width="15.25" customWidth="1" style="5" min="11" max="11"/>
    <col width="58.25" customWidth="1" style="6" min="12" max="12"/>
    <col width="17.75" customWidth="1" style="6" min="13" max="13"/>
    <col width="4.25" customWidth="1" style="5" min="14" max="14"/>
    <col width="11.125" customWidth="1" style="5" min="15" max="15"/>
    <col width="17" customWidth="1" style="8" min="16" max="16"/>
    <col width="9" customWidth="1" style="9" min="17" max="16384"/>
  </cols>
  <sheetData>
    <row r="1" ht="25.5" customHeight="1" s="54">
      <c r="A1" s="1" t="inlineStr">
        <is>
          <t>■ 아크바 브랜드 제품 주문서 정리본</t>
        </is>
      </c>
    </row>
    <row r="2" customFormat="1" s="17">
      <c r="A2" s="10" t="n"/>
      <c r="B2" s="55" t="n"/>
      <c r="C2" s="56" t="n"/>
      <c r="D2" s="57" t="n"/>
      <c r="E2" s="10" t="n"/>
      <c r="F2" s="14" t="n"/>
      <c r="G2" s="14" t="n"/>
      <c r="H2" s="10">
        <f>SUM(H4:H188)</f>
        <v/>
      </c>
      <c r="I2" s="7">
        <f>SUM(I4:I187)</f>
        <v/>
      </c>
      <c r="J2" s="58" t="n"/>
      <c r="K2" s="58">
        <f>I2*J2</f>
        <v/>
      </c>
      <c r="L2" s="14" t="n"/>
      <c r="M2" s="14" t="n"/>
      <c r="N2" s="10">
        <f>COUNTA(N4:N1048576)</f>
        <v/>
      </c>
      <c r="O2" s="10" t="n"/>
      <c r="P2" s="16" t="n"/>
    </row>
    <row r="3" ht="15" customFormat="1" customHeight="1" s="5" thickBot="1">
      <c r="A3" s="18" t="inlineStr">
        <is>
          <t>NO</t>
        </is>
      </c>
      <c r="B3" s="59" t="inlineStr">
        <is>
          <t>년</t>
        </is>
      </c>
      <c r="C3" s="60" t="inlineStr">
        <is>
          <t>월</t>
        </is>
      </c>
      <c r="D3" s="61" t="inlineStr">
        <is>
          <t>일</t>
        </is>
      </c>
      <c r="E3" s="22" t="inlineStr">
        <is>
          <t>주문번호</t>
        </is>
      </c>
      <c r="F3" s="23" t="inlineStr">
        <is>
          <t>상품명</t>
        </is>
      </c>
      <c r="G3" s="24" t="inlineStr">
        <is>
          <t>옵션</t>
        </is>
      </c>
      <c r="H3" s="18" t="inlineStr">
        <is>
          <t>배송건수</t>
        </is>
      </c>
      <c r="I3" s="25" t="inlineStr">
        <is>
          <t>판매수량</t>
        </is>
      </c>
      <c r="J3" s="22" t="inlineStr">
        <is>
          <t>수령인명</t>
        </is>
      </c>
      <c r="K3" s="22" t="inlineStr">
        <is>
          <t>수령인 연락처</t>
        </is>
      </c>
      <c r="L3" s="23" t="inlineStr">
        <is>
          <t>배송지 주소</t>
        </is>
      </c>
      <c r="M3" s="23" t="inlineStr">
        <is>
          <t>특이사항</t>
        </is>
      </c>
      <c r="N3" s="18" t="inlineStr">
        <is>
          <t>비고</t>
        </is>
      </c>
      <c r="O3" s="26" t="inlineStr">
        <is>
          <t>택배사</t>
        </is>
      </c>
      <c r="P3" s="27" t="inlineStr">
        <is>
          <t>택배운송장</t>
        </is>
      </c>
    </row>
    <row r="4" ht="15" customHeight="1" s="54" thickTop="1"/>
    <row r="93" ht="14.25" customHeight="1" s="54"/>
    <row r="94" ht="14.25" customHeight="1" s="54"/>
    <row r="95" ht="14.25" customHeight="1" s="54"/>
    <row r="96" ht="14.25" customHeight="1" s="54"/>
    <row r="97" ht="14.25" customHeight="1" s="54"/>
    <row r="98" ht="14.25" customHeight="1" s="54"/>
  </sheetData>
  <autoFilter ref="A3:P187"/>
  <conditionalFormatting sqref="N1:N1048576">
    <cfRule type="cellIs" priority="1" operator="equal" dxfId="0">
      <formula>"지인"</formula>
    </cfRule>
  </conditionalFormatting>
  <conditionalFormatting sqref="P4:P16">
    <cfRule type="duplicateValues" priority="2" dxfId="0"/>
  </conditionalFormatting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2026-09-03T03:03:06Z</dcterms:created>
  <dcterms:modified xmlns:dcterms="http://purl.org/dc/terms/" xmlns:xsi="http://www.w3.org/2001/XMLSchema-instance" xsi:type="dcterms:W3CDTF">2026-09-08T08:15:51Z</dcterms:modified>
  <cp:lastModifiedBy>데코리아3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0x0101005B62D11409CC9B4EA6D715D67B7F7FCF</vt:lpwstr>
  </property>
</Properties>
</file>